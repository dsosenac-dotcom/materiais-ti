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🔢 Q01-05 Soma Básica+" sheetId="2" state="visible" r:id="rId2"/>
    <sheet xmlns:r="http://schemas.openxmlformats.org/officeDocument/2006/relationships" name="📊 Q06-10 SOMASE" sheetId="3" state="visible" r:id="rId3"/>
    <sheet xmlns:r="http://schemas.openxmlformats.org/officeDocument/2006/relationships" name="🔗 Q11-15 Ref. Absoluta" sheetId="4" state="visible" r:id="rId4"/>
    <sheet xmlns:r="http://schemas.openxmlformats.org/officeDocument/2006/relationships" name="🧩 Q16-20 SOMASES+Subtotal" sheetId="5" state="visible" r:id="rId5"/>
    <sheet xmlns:r="http://schemas.openxmlformats.org/officeDocument/2006/relationships" name="✅ Gabari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000000"/>
      <sz val="11"/>
    </font>
    <font>
      <name val="Arial"/>
      <i val="1"/>
      <color rgb="00595959"/>
      <sz val="10"/>
    </font>
    <font>
      <name val="Arial"/>
      <i val="1"/>
      <sz val="10"/>
    </font>
    <font>
      <name val="Arial"/>
      <b val="1"/>
      <color rgb="00000000"/>
      <sz val="10"/>
    </font>
    <font>
      <name val="Courier New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D1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7" fillId="11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9" fontId="0" fillId="6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7" fillId="13" borderId="0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📊  ATIVIDADE: SOMA AVANÇADA NO EXCEL — NÍVEL INTERMEDIÁRIO</t>
        </is>
      </c>
    </row>
    <row r="2" ht="30" customHeight="1">
      <c r="A2" s="2" t="inlineStr">
        <is>
          <t>Aula 4 — Intermediário  |  Turma: _______________  |  Aluno(a): _______________  |  Data: ___/___/______</t>
        </is>
      </c>
    </row>
    <row r="4" ht="22" customHeight="1">
      <c r="A4" s="3" t="inlineStr">
        <is>
          <t>🎯 O QUE VOCÊ VAI PRATICAR NESTA AULA</t>
        </is>
      </c>
    </row>
    <row r="5" ht="22" customHeight="1">
      <c r="A5" s="4" t="inlineStr">
        <is>
          <t>✔  SOMA simples com intervalos variados</t>
        </is>
      </c>
    </row>
    <row r="6" ht="22" customHeight="1">
      <c r="A6" s="4" t="inlineStr">
        <is>
          <t>✔  SOMA com células não contíguas  =SOMA(A1;A3;A5)</t>
        </is>
      </c>
    </row>
    <row r="7" ht="22" customHeight="1">
      <c r="A7" s="4" t="inlineStr">
        <is>
          <t>✔  SOMA com condição  =SOMASE(intervalo;critério;soma)</t>
        </is>
      </c>
    </row>
    <row r="8" ht="22" customHeight="1">
      <c r="A8" s="4" t="inlineStr">
        <is>
          <t>✔  SOMA acumulada (linha a linha)</t>
        </is>
      </c>
    </row>
    <row r="9" ht="22" customHeight="1">
      <c r="A9" s="4" t="inlineStr">
        <is>
          <t>✔  SOMA com referência absoluta  $A$1</t>
        </is>
      </c>
    </row>
    <row r="10" ht="22" customHeight="1">
      <c r="A10" s="4" t="inlineStr">
        <is>
          <t>✔  SOMA entre planilhas diferentes</t>
        </is>
      </c>
    </row>
    <row r="11" ht="22" customHeight="1">
      <c r="A11" s="4" t="inlineStr">
        <is>
          <t>✔  SUBTOTAL (ignora linhas ocultas)</t>
        </is>
      </c>
    </row>
    <row r="12" ht="22" customHeight="1">
      <c r="A12" s="4" t="inlineStr">
        <is>
          <t>✔  SOMA com SE  =SOMASE  e  =SOMASES</t>
        </is>
      </c>
    </row>
    <row r="14" ht="24" customHeight="1">
      <c r="A14" s="5" t="inlineStr">
        <is>
          <t>📌  ABAS DA PLANILHA:</t>
        </is>
      </c>
    </row>
    <row r="15" ht="22" customHeight="1">
      <c r="A15" s="6" t="inlineStr">
        <is>
          <t>🔢 Q01-05  Soma Básica+</t>
        </is>
      </c>
      <c r="E15" s="7" t="inlineStr">
        <is>
          <t>Soma simples, não contígua e acumulada</t>
        </is>
      </c>
    </row>
    <row r="16" ht="22" customHeight="1">
      <c r="A16" s="6" t="inlineStr">
        <is>
          <t>📊 Q06-10  SOMASE</t>
        </is>
      </c>
      <c r="E16" s="7" t="inlineStr">
        <is>
          <t>Somar com uma condição</t>
        </is>
      </c>
    </row>
    <row r="17" ht="22" customHeight="1">
      <c r="A17" s="6" t="inlineStr">
        <is>
          <t>🔗 Q11-15  Ref. Absoluta</t>
        </is>
      </c>
      <c r="E17" s="7" t="inlineStr">
        <is>
          <t>Uso de $ e soma entre abas</t>
        </is>
      </c>
    </row>
    <row r="18" ht="22" customHeight="1">
      <c r="A18" s="6" t="inlineStr">
        <is>
          <t>🧩 Q16-20  SOMASES+Subtotal</t>
        </is>
      </c>
      <c r="E18" s="7" t="inlineStr">
        <is>
          <t>Múltiplos critérios e SUBTOTAL</t>
        </is>
      </c>
    </row>
    <row r="19" ht="22" customHeight="1">
      <c r="A19" s="6" t="inlineStr">
        <is>
          <t>✅ Gabarito</t>
        </is>
      </c>
      <c r="E19" s="7" t="inlineStr">
        <is>
          <t>Respostas comentadas — abrir só no final</t>
        </is>
      </c>
    </row>
  </sheetData>
  <mergeCells count="22">
    <mergeCell ref="A9:H9"/>
    <mergeCell ref="A17:D17"/>
    <mergeCell ref="E16:H16"/>
    <mergeCell ref="A11:H11"/>
    <mergeCell ref="A19:D19"/>
    <mergeCell ref="A1:H1"/>
    <mergeCell ref="A6:H6"/>
    <mergeCell ref="E18:H18"/>
    <mergeCell ref="A7:H7"/>
    <mergeCell ref="A15:D15"/>
    <mergeCell ref="A12:H12"/>
    <mergeCell ref="E17:H17"/>
    <mergeCell ref="A2:H2"/>
    <mergeCell ref="A14:H14"/>
    <mergeCell ref="A16:D16"/>
    <mergeCell ref="A5:H5"/>
    <mergeCell ref="E19:H19"/>
    <mergeCell ref="A8:H8"/>
    <mergeCell ref="A4:H4"/>
    <mergeCell ref="A18:D18"/>
    <mergeCell ref="A10:H10"/>
    <mergeCell ref="E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36" customHeight="1">
      <c r="A1" s="8" t="inlineStr">
        <is>
          <t>🔢  Questões 01 a 05 — SOMA Básica Avançada</t>
        </is>
      </c>
    </row>
    <row r="2" ht="30" customHeight="1">
      <c r="A2" s="2" t="inlineStr">
        <is>
          <t>Digite a fórmula correta nas células AMARELAS. Não altere os dados!</t>
        </is>
      </c>
    </row>
    <row r="4" ht="20" customHeight="1">
      <c r="A4" s="3" t="inlineStr">
        <is>
          <t xml:space="preserve">  Questão 01</t>
        </is>
      </c>
    </row>
    <row r="5" ht="20" customHeight="1">
      <c r="A5" s="9" t="inlineStr">
        <is>
          <t>01. Some os valores de vendas de Janeiro a Junho usando SOMA com intervalo contínuo.</t>
        </is>
      </c>
    </row>
    <row r="6" ht="22" customHeight="1">
      <c r="A6" s="10" t="inlineStr">
        <is>
          <t>Mês</t>
        </is>
      </c>
      <c r="B6" s="10" t="inlineStr">
        <is>
          <t>Jan</t>
        </is>
      </c>
      <c r="C6" s="10" t="inlineStr">
        <is>
          <t>Fev</t>
        </is>
      </c>
      <c r="D6" s="10" t="inlineStr">
        <is>
          <t>Mar</t>
        </is>
      </c>
      <c r="E6" s="10" t="inlineStr">
        <is>
          <t>Abr</t>
        </is>
      </c>
      <c r="F6" s="10" t="inlineStr">
        <is>
          <t>Mai</t>
        </is>
      </c>
      <c r="G6" s="10" t="inlineStr">
        <is>
          <t>Jun</t>
        </is>
      </c>
    </row>
    <row r="7" ht="20" customHeight="1">
      <c r="A7" s="11" t="inlineStr">
        <is>
          <t>Vendas (R$)</t>
        </is>
      </c>
      <c r="B7" s="12" t="n">
        <v>3200</v>
      </c>
      <c r="C7" s="12" t="n">
        <v>4150</v>
      </c>
      <c r="D7" s="12" t="n">
        <v>2900</v>
      </c>
      <c r="E7" s="12" t="n">
        <v>5100</v>
      </c>
      <c r="F7" s="12" t="n">
        <v>3800</v>
      </c>
      <c r="G7" s="12" t="n">
        <v>4600</v>
      </c>
    </row>
    <row r="8" ht="20" customHeight="1">
      <c r="A8" s="13" t="inlineStr">
        <is>
          <t>💡 Fórmula esperada: =SOMA(B___:G___)</t>
        </is>
      </c>
      <c r="B8" s="14" t="n"/>
      <c r="C8" s="14" t="n"/>
      <c r="D8" s="14" t="n"/>
      <c r="E8" s="14" t="n"/>
      <c r="F8" s="15" t="n"/>
    </row>
    <row r="10" ht="20" customHeight="1">
      <c r="A10" s="3" t="inlineStr">
        <is>
          <t xml:space="preserve">  Questão 02</t>
        </is>
      </c>
    </row>
    <row r="11" ht="20" customHeight="1">
      <c r="A11" s="9" t="inlineStr">
        <is>
          <t>02. Some apenas Janeiro, Março e Maio (células NÃO contíguas — use ponto e vírgula).</t>
        </is>
      </c>
    </row>
    <row r="12" ht="22" customHeight="1">
      <c r="A12" s="10" t="inlineStr">
        <is>
          <t>Mês</t>
        </is>
      </c>
      <c r="B12" s="10" t="inlineStr">
        <is>
          <t>Jan</t>
        </is>
      </c>
      <c r="C12" s="10" t="inlineStr">
        <is>
          <t>Fev</t>
        </is>
      </c>
      <c r="D12" s="10" t="inlineStr">
        <is>
          <t>Mar</t>
        </is>
      </c>
      <c r="E12" s="10" t="inlineStr">
        <is>
          <t>Abr</t>
        </is>
      </c>
      <c r="F12" s="10" t="inlineStr">
        <is>
          <t>Mai</t>
        </is>
      </c>
      <c r="G12" s="10" t="inlineStr">
        <is>
          <t>Jun</t>
        </is>
      </c>
    </row>
    <row r="13" ht="20" customHeight="1">
      <c r="A13" s="11" t="inlineStr">
        <is>
          <t>Vendas (R$)</t>
        </is>
      </c>
      <c r="B13" s="12" t="n">
        <v>1500</v>
      </c>
      <c r="C13" s="12" t="n">
        <v>2300</v>
      </c>
      <c r="D13" s="12" t="n">
        <v>1800</v>
      </c>
      <c r="E13" s="12" t="n">
        <v>2700</v>
      </c>
      <c r="F13" s="12" t="n">
        <v>2100</v>
      </c>
      <c r="G13" s="12" t="n">
        <v>3000</v>
      </c>
    </row>
    <row r="14" ht="20" customHeight="1">
      <c r="A14" s="13" t="inlineStr">
        <is>
          <t>💡 Use: =SOMA(B___; D___; F___)</t>
        </is>
      </c>
      <c r="B14" s="14" t="n"/>
      <c r="C14" s="14" t="n"/>
      <c r="D14" s="14" t="n"/>
      <c r="E14" s="14" t="n"/>
      <c r="F14" s="15" t="n"/>
    </row>
    <row r="16" ht="20" customHeight="1">
      <c r="A16" s="3" t="inlineStr">
        <is>
          <t xml:space="preserve">  Questão 03</t>
        </is>
      </c>
    </row>
    <row r="17" ht="20" customHeight="1">
      <c r="A17" s="9" t="inlineStr">
        <is>
          <t>03. Calcule a SOMA ACUMULADA mês a mês (cada célula soma do início até o mês atual).</t>
        </is>
      </c>
    </row>
    <row r="18" ht="22" customHeight="1">
      <c r="A18" s="10" t="inlineStr">
        <is>
          <t>Mês</t>
        </is>
      </c>
      <c r="B18" s="10" t="inlineStr">
        <is>
          <t>Valor</t>
        </is>
      </c>
      <c r="C18" s="10" t="inlineStr">
        <is>
          <t>Acumulado</t>
        </is>
      </c>
    </row>
    <row r="19">
      <c r="A19" s="16" t="inlineStr">
        <is>
          <t>Jan</t>
        </is>
      </c>
      <c r="B19" s="17" t="n">
        <v>800</v>
      </c>
      <c r="C19" s="18" t="inlineStr"/>
    </row>
    <row r="20">
      <c r="A20" s="11" t="inlineStr">
        <is>
          <t>Fev</t>
        </is>
      </c>
      <c r="B20" s="12" t="n">
        <v>950</v>
      </c>
      <c r="C20" s="18" t="inlineStr"/>
    </row>
    <row r="21">
      <c r="A21" s="16" t="inlineStr">
        <is>
          <t>Mar</t>
        </is>
      </c>
      <c r="B21" s="17" t="n">
        <v>720</v>
      </c>
      <c r="C21" s="18" t="inlineStr"/>
    </row>
    <row r="22">
      <c r="A22" s="11" t="inlineStr">
        <is>
          <t>Abr</t>
        </is>
      </c>
      <c r="B22" s="12" t="n">
        <v>1100</v>
      </c>
      <c r="C22" s="18" t="inlineStr"/>
    </row>
    <row r="23">
      <c r="A23" s="16" t="inlineStr">
        <is>
          <t>Mai</t>
        </is>
      </c>
      <c r="B23" s="17" t="n">
        <v>880</v>
      </c>
      <c r="C23" s="18" t="inlineStr"/>
    </row>
    <row r="24">
      <c r="A24" s="11" t="inlineStr">
        <is>
          <t>Jun</t>
        </is>
      </c>
      <c r="B24" s="12" t="n">
        <v>1300</v>
      </c>
      <c r="C24" s="18" t="inlineStr"/>
    </row>
    <row r="25" ht="20" customHeight="1">
      <c r="A25" s="19" t="inlineStr">
        <is>
          <t>💡 Jan: =SOMA(B19:B19)  |  Fev: =SOMA(B19:B20)  |  e assim por diante…</t>
        </is>
      </c>
    </row>
    <row r="27" ht="20" customHeight="1">
      <c r="A27" s="3" t="inlineStr">
        <is>
          <t xml:space="preserve">  Questão 04</t>
        </is>
      </c>
    </row>
    <row r="28" ht="20" customHeight="1">
      <c r="A28" s="9" t="inlineStr">
        <is>
          <t>04. Some receitas e despesas. Atenção: despesas são negativas!</t>
        </is>
      </c>
    </row>
    <row r="29" ht="22" customHeight="1">
      <c r="A29" s="10" t="inlineStr">
        <is>
          <t>Descrição</t>
        </is>
      </c>
      <c r="B29" s="10" t="inlineStr">
        <is>
          <t>Valor (R$)</t>
        </is>
      </c>
    </row>
    <row r="30">
      <c r="A30" s="20" t="inlineStr">
        <is>
          <t>Receita Vendas</t>
        </is>
      </c>
      <c r="B30" s="17" t="n">
        <v>5000</v>
      </c>
    </row>
    <row r="31">
      <c r="A31" s="21" t="inlineStr">
        <is>
          <t>Receita Serviços</t>
        </is>
      </c>
      <c r="B31" s="12" t="n">
        <v>1200</v>
      </c>
    </row>
    <row r="32">
      <c r="A32" s="20" t="inlineStr">
        <is>
          <t>Despesa Aluguel</t>
        </is>
      </c>
      <c r="B32" s="17" t="n">
        <v>-800</v>
      </c>
    </row>
    <row r="33">
      <c r="A33" s="21" t="inlineStr">
        <is>
          <t>Despesa Salários</t>
        </is>
      </c>
      <c r="B33" s="12" t="n">
        <v>-2200</v>
      </c>
    </row>
    <row r="34">
      <c r="A34" s="20" t="inlineStr">
        <is>
          <t>Despesa Material</t>
        </is>
      </c>
      <c r="B34" s="17" t="n">
        <v>-350</v>
      </c>
    </row>
    <row r="35" ht="20" customHeight="1">
      <c r="A35" s="13" t="inlineStr">
        <is>
          <t>💡 Use: =SOMA(B___:B___)  — o Excel soma automaticamente os negativos!</t>
        </is>
      </c>
      <c r="B35" s="14" t="n"/>
      <c r="C35" s="14" t="n"/>
      <c r="D35" s="14" t="n"/>
      <c r="E35" s="14" t="n"/>
      <c r="F35" s="15" t="n"/>
    </row>
    <row r="37" ht="20" customHeight="1">
      <c r="A37" s="3" t="inlineStr">
        <is>
          <t xml:space="preserve">  Questão 05</t>
        </is>
      </c>
    </row>
    <row r="38" ht="20" customHeight="1">
      <c r="A38" s="9" t="inlineStr">
        <is>
          <t>05. Some o TOTAL GERAL somando as somas de cada trimestre (referenciando as células de subtotal).</t>
        </is>
      </c>
    </row>
    <row r="39" ht="22" customHeight="1">
      <c r="A39" s="10" t="inlineStr">
        <is>
          <t>Trimestre</t>
        </is>
      </c>
      <c r="B39" s="10" t="inlineStr">
        <is>
          <t>Produto A</t>
        </is>
      </c>
      <c r="C39" s="10" t="inlineStr">
        <is>
          <t>Produto B</t>
        </is>
      </c>
      <c r="D39" s="10" t="inlineStr">
        <is>
          <t>Produto C</t>
        </is>
      </c>
      <c r="E39" s="10" t="inlineStr">
        <is>
          <t>SUBTOTAL</t>
        </is>
      </c>
    </row>
    <row r="40">
      <c r="A40" s="16" t="inlineStr">
        <is>
          <t>T1</t>
        </is>
      </c>
      <c r="B40" s="17" t="n">
        <v>1200</v>
      </c>
      <c r="C40" s="17" t="n">
        <v>950</v>
      </c>
      <c r="D40" s="17" t="n">
        <v>800</v>
      </c>
      <c r="E40" s="18" t="inlineStr"/>
    </row>
    <row r="41">
      <c r="A41" s="11" t="inlineStr">
        <is>
          <t>T2</t>
        </is>
      </c>
      <c r="B41" s="12" t="n">
        <v>1500</v>
      </c>
      <c r="C41" s="12" t="n">
        <v>1100</v>
      </c>
      <c r="D41" s="12" t="n">
        <v>950</v>
      </c>
      <c r="E41" s="18" t="inlineStr"/>
    </row>
    <row r="42">
      <c r="A42" s="16" t="inlineStr">
        <is>
          <t>T3</t>
        </is>
      </c>
      <c r="B42" s="17" t="n">
        <v>1800</v>
      </c>
      <c r="C42" s="17" t="n">
        <v>1300</v>
      </c>
      <c r="D42" s="17" t="n">
        <v>1100</v>
      </c>
      <c r="E42" s="18" t="inlineStr"/>
    </row>
    <row r="43">
      <c r="A43" s="11" t="inlineStr">
        <is>
          <t>T4</t>
        </is>
      </c>
      <c r="B43" s="12" t="n">
        <v>2100</v>
      </c>
      <c r="C43" s="12" t="n">
        <v>1600</v>
      </c>
      <c r="D43" s="12" t="n">
        <v>1350</v>
      </c>
      <c r="E43" s="18" t="inlineStr"/>
    </row>
    <row r="44" ht="20" customHeight="1">
      <c r="A44" s="13" t="inlineStr">
        <is>
          <t>💡 Subtotal linha: =SOMA(B___:D___)  |  Total geral: =SOMA(E40:E43)</t>
        </is>
      </c>
      <c r="B44" s="14" t="n"/>
      <c r="C44" s="14" t="n"/>
      <c r="D44" s="14" t="n"/>
      <c r="E44" s="14" t="n"/>
      <c r="F44" s="15" t="n"/>
    </row>
  </sheetData>
  <mergeCells count="21">
    <mergeCell ref="A16:F16"/>
    <mergeCell ref="A35"/>
    <mergeCell ref="A37:F37"/>
    <mergeCell ref="A27:F27"/>
    <mergeCell ref="A44:D44"/>
    <mergeCell ref="A2:F2"/>
    <mergeCell ref="A14:F14"/>
    <mergeCell ref="A5:F5"/>
    <mergeCell ref="A8:F8"/>
    <mergeCell ref="A17:F17"/>
    <mergeCell ref="A35:F35"/>
    <mergeCell ref="A4:F4"/>
    <mergeCell ref="A38:F38"/>
    <mergeCell ref="A10:F10"/>
    <mergeCell ref="A28:F28"/>
    <mergeCell ref="A44:F44"/>
    <mergeCell ref="A14:B14"/>
    <mergeCell ref="A8:B8"/>
    <mergeCell ref="A11:F11"/>
    <mergeCell ref="A1:F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4" customWidth="1" min="4" max="4"/>
    <col width="22" customWidth="1" min="5" max="5"/>
  </cols>
  <sheetData>
    <row r="1" ht="36" customHeight="1">
      <c r="A1" s="22" t="inlineStr">
        <is>
          <t>📊  Questões 06 a 10 — SOMASE (Soma com Condição)</t>
        </is>
      </c>
    </row>
    <row r="2" ht="30" customHeight="1">
      <c r="A2" s="2" t="inlineStr">
        <is>
          <t>Use =SOMASE(intervalo_critério; critério; intervalo_soma) nas células AMARELAS.</t>
        </is>
      </c>
    </row>
    <row r="4" ht="20" customHeight="1">
      <c r="A4" s="23" t="inlineStr">
        <is>
          <t xml:space="preserve">  Questão 06</t>
        </is>
      </c>
    </row>
    <row r="5" ht="20" customHeight="1">
      <c r="A5" s="9" t="inlineStr">
        <is>
          <t>06. Some o total de vendas apenas da região NORTE.</t>
        </is>
      </c>
    </row>
    <row r="6" ht="22" customHeight="1">
      <c r="A6" s="24" t="inlineStr">
        <is>
          <t>Vendedor</t>
        </is>
      </c>
      <c r="B6" s="24" t="inlineStr">
        <is>
          <t>Região</t>
        </is>
      </c>
      <c r="C6" s="24" t="inlineStr">
        <is>
          <t>Vendas (R$)</t>
        </is>
      </c>
    </row>
    <row r="7">
      <c r="A7" s="16" t="inlineStr">
        <is>
          <t>Ana</t>
        </is>
      </c>
      <c r="B7" s="16" t="inlineStr">
        <is>
          <t>Norte</t>
        </is>
      </c>
      <c r="C7" s="17" t="n">
        <v>1200</v>
      </c>
    </row>
    <row r="8">
      <c r="A8" s="11" t="inlineStr">
        <is>
          <t>Bruno</t>
        </is>
      </c>
      <c r="B8" s="11" t="inlineStr">
        <is>
          <t>Sul</t>
        </is>
      </c>
      <c r="C8" s="12" t="n">
        <v>850</v>
      </c>
    </row>
    <row r="9">
      <c r="A9" s="16" t="inlineStr">
        <is>
          <t>Carla</t>
        </is>
      </c>
      <c r="B9" s="16" t="inlineStr">
        <is>
          <t>Norte</t>
        </is>
      </c>
      <c r="C9" s="17" t="n">
        <v>1500</v>
      </c>
    </row>
    <row r="10">
      <c r="A10" s="11" t="inlineStr">
        <is>
          <t>Diego</t>
        </is>
      </c>
      <c r="B10" s="11" t="inlineStr">
        <is>
          <t>Leste</t>
        </is>
      </c>
      <c r="C10" s="12" t="n">
        <v>700</v>
      </c>
    </row>
    <row r="11">
      <c r="A11" s="16" t="inlineStr">
        <is>
          <t>Eva</t>
        </is>
      </c>
      <c r="B11" s="16" t="inlineStr">
        <is>
          <t>Sul</t>
        </is>
      </c>
      <c r="C11" s="17" t="n">
        <v>1100</v>
      </c>
    </row>
    <row r="12">
      <c r="A12" s="11" t="inlineStr">
        <is>
          <t>Felipe</t>
        </is>
      </c>
      <c r="B12" s="11" t="inlineStr">
        <is>
          <t>Norte</t>
        </is>
      </c>
      <c r="C12" s="12" t="n">
        <v>980</v>
      </c>
    </row>
    <row r="13">
      <c r="A13" s="16" t="inlineStr">
        <is>
          <t>Gabi</t>
        </is>
      </c>
      <c r="B13" s="16" t="inlineStr">
        <is>
          <t>Leste</t>
        </is>
      </c>
      <c r="C13" s="17" t="n">
        <v>1350</v>
      </c>
    </row>
    <row r="14">
      <c r="A14" s="11" t="inlineStr">
        <is>
          <t>Hugo</t>
        </is>
      </c>
      <c r="B14" s="11" t="inlineStr">
        <is>
          <t>Sul</t>
        </is>
      </c>
      <c r="C14" s="12" t="n">
        <v>920</v>
      </c>
    </row>
    <row r="15">
      <c r="A15" s="16" t="inlineStr">
        <is>
          <t>Iris</t>
        </is>
      </c>
      <c r="B15" s="16" t="inlineStr">
        <is>
          <t>Norte</t>
        </is>
      </c>
      <c r="C15" s="17" t="n">
        <v>1600</v>
      </c>
    </row>
    <row r="16">
      <c r="A16" s="11" t="inlineStr">
        <is>
          <t>João</t>
        </is>
      </c>
      <c r="B16" s="11" t="inlineStr">
        <is>
          <t>Leste</t>
        </is>
      </c>
      <c r="C16" s="12" t="n">
        <v>750</v>
      </c>
    </row>
    <row r="17" ht="20" customHeight="1">
      <c r="A17" s="13" t="inlineStr">
        <is>
          <t>💡 =SOMASE(B7:B16;"Norte";C7:C16)</t>
        </is>
      </c>
      <c r="B17" s="14" t="n"/>
      <c r="C17" s="14" t="n"/>
      <c r="D17" s="14" t="n"/>
      <c r="E17" s="15" t="n"/>
    </row>
    <row r="19" ht="20" customHeight="1">
      <c r="A19" s="23" t="inlineStr">
        <is>
          <t xml:space="preserve">  Questão 07</t>
        </is>
      </c>
    </row>
    <row r="20" ht="20" customHeight="1">
      <c r="A20" s="9" t="inlineStr">
        <is>
          <t>07. Some as vendas da região SUL.</t>
        </is>
      </c>
    </row>
    <row r="21">
      <c r="A21" s="25" t="inlineStr">
        <is>
          <t>(Use os mesmos dados acima ↑)</t>
        </is>
      </c>
    </row>
    <row r="22" ht="20" customHeight="1">
      <c r="A22" s="13" t="inlineStr">
        <is>
          <t>💡 Troque "Norte" por "Sul" na fórmula anterior</t>
        </is>
      </c>
      <c r="B22" s="14" t="n"/>
      <c r="C22" s="14" t="n"/>
      <c r="D22" s="14" t="n"/>
      <c r="E22" s="15" t="n"/>
    </row>
    <row r="24" ht="20" customHeight="1">
      <c r="A24" s="23" t="inlineStr">
        <is>
          <t xml:space="preserve">  Questão 08</t>
        </is>
      </c>
    </row>
    <row r="25" ht="20" customHeight="1">
      <c r="A25" s="9" t="inlineStr">
        <is>
          <t>08. Some apenas as vendas ACIMA de R$ 1.000,00 (use critério "&gt;1000").</t>
        </is>
      </c>
    </row>
    <row r="26" ht="20" customHeight="1">
      <c r="A26" s="13" t="inlineStr">
        <is>
          <t>💡 =SOMASE(C7:C16;"&gt;1000")</t>
        </is>
      </c>
      <c r="B26" s="14" t="n"/>
      <c r="C26" s="14" t="n"/>
      <c r="D26" s="14" t="n"/>
      <c r="E26" s="15" t="n"/>
    </row>
    <row r="28" ht="20" customHeight="1">
      <c r="A28" s="23" t="inlineStr">
        <is>
          <t xml:space="preserve">  Questão 09</t>
        </is>
      </c>
    </row>
    <row r="29" ht="20" customHeight="1">
      <c r="A29" s="9" t="inlineStr">
        <is>
          <t>09. Some as vendas abaixo de R$ 1.000,00.</t>
        </is>
      </c>
    </row>
    <row r="30" ht="20" customHeight="1">
      <c r="A30" s="13" t="inlineStr">
        <is>
          <t>💡 =SOMASE(C7:C16;"&lt;1000")</t>
        </is>
      </c>
      <c r="B30" s="14" t="n"/>
      <c r="C30" s="14" t="n"/>
      <c r="D30" s="14" t="n"/>
      <c r="E30" s="15" t="n"/>
    </row>
    <row r="32" ht="20" customHeight="1">
      <c r="A32" s="23" t="inlineStr">
        <is>
          <t xml:space="preserve">  Questão 10</t>
        </is>
      </c>
    </row>
    <row r="33" ht="20" customHeight="1">
      <c r="A33" s="9" t="inlineStr">
        <is>
          <t>10. Some as vendas do vendedor 'Ana' OU 'Carla' (faça duas células SOMASE separadas e some).</t>
        </is>
      </c>
    </row>
    <row r="34" ht="20" customHeight="1">
      <c r="A34" s="13" t="inlineStr">
        <is>
          <t xml:space="preserve">💡 =SOMASE(A7:A16;"Ana";C7:C16)+SOMASE(...)  </t>
        </is>
      </c>
      <c r="B34" s="14" t="n"/>
      <c r="C34" s="14" t="n"/>
      <c r="D34" s="14" t="n"/>
      <c r="E34" s="15" t="n"/>
    </row>
  </sheetData>
  <mergeCells count="23">
    <mergeCell ref="A30:E30"/>
    <mergeCell ref="A34:E34"/>
    <mergeCell ref="A30:B30"/>
    <mergeCell ref="A24:E24"/>
    <mergeCell ref="A1:E1"/>
    <mergeCell ref="A25:E25"/>
    <mergeCell ref="A26:B26"/>
    <mergeCell ref="A21:B21"/>
    <mergeCell ref="A26:E26"/>
    <mergeCell ref="A2:E2"/>
    <mergeCell ref="A33:E33"/>
    <mergeCell ref="A5:E5"/>
    <mergeCell ref="A32:E32"/>
    <mergeCell ref="A17:B17"/>
    <mergeCell ref="A22:E22"/>
    <mergeCell ref="A17:E17"/>
    <mergeCell ref="A22:B22"/>
    <mergeCell ref="A29:E29"/>
    <mergeCell ref="A4:E4"/>
    <mergeCell ref="A20:E20"/>
    <mergeCell ref="A28:E28"/>
    <mergeCell ref="A19:E1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12" customWidth="1" min="4" max="4"/>
    <col width="12" customWidth="1" min="5" max="5"/>
    <col width="16" customWidth="1" min="6" max="6"/>
  </cols>
  <sheetData>
    <row r="1" ht="36" customHeight="1">
      <c r="A1" s="26" t="inlineStr">
        <is>
          <t>🔗  Questões 11 a 15 — Referência Absoluta e SOMA entre Abas</t>
        </is>
      </c>
    </row>
    <row r="2" ht="30" customHeight="1">
      <c r="A2" s="2" t="inlineStr">
        <is>
          <t>Use $ para travar células. Para referenciar outra aba: ='Nome da Aba'!Célula</t>
        </is>
      </c>
    </row>
    <row r="4" ht="22" customHeight="1">
      <c r="A4" s="27" t="inlineStr">
        <is>
          <t>📌  Tabela de Apoio — Taxas e Metas (usada nas Questões 11 a 13)</t>
        </is>
      </c>
    </row>
    <row r="5" ht="22" customHeight="1">
      <c r="A5" s="28" t="inlineStr"/>
      <c r="B5" s="28" t="inlineStr">
        <is>
          <t>Taxa Comissão</t>
        </is>
      </c>
      <c r="C5" s="28" t="inlineStr">
        <is>
          <t>Meta Mensal</t>
        </is>
      </c>
    </row>
    <row r="6">
      <c r="A6" s="16" t="inlineStr">
        <is>
          <t>Empresa XYZ</t>
        </is>
      </c>
      <c r="B6" s="29" t="n">
        <v>0.08</v>
      </c>
      <c r="C6" s="17" t="n">
        <v>5000</v>
      </c>
    </row>
    <row r="8" ht="20" customHeight="1">
      <c r="A8" s="30" t="inlineStr">
        <is>
          <t xml:space="preserve">  Questão 11</t>
        </is>
      </c>
    </row>
    <row r="9" ht="20" customHeight="1">
      <c r="A9" s="9" t="inlineStr">
        <is>
          <t>11. Calcule a comissão de cada vendedor (Vendas × Taxa). Trave a célula da taxa com $.</t>
        </is>
      </c>
    </row>
    <row r="10" ht="22" customHeight="1">
      <c r="A10" s="28" t="inlineStr">
        <is>
          <t>Vendedor</t>
        </is>
      </c>
      <c r="B10" s="28" t="inlineStr">
        <is>
          <t>Vendas (R$)</t>
        </is>
      </c>
      <c r="C10" s="28" t="inlineStr">
        <is>
          <t>Comissão (=B___*$B$6)</t>
        </is>
      </c>
    </row>
    <row r="11">
      <c r="A11" s="16" t="inlineStr">
        <is>
          <t>Ana Lima</t>
        </is>
      </c>
      <c r="B11" s="17" t="n">
        <v>4500</v>
      </c>
      <c r="C11" s="18" t="inlineStr"/>
    </row>
    <row r="12">
      <c r="A12" s="11" t="inlineStr">
        <is>
          <t>Bruno Costa</t>
        </is>
      </c>
      <c r="B12" s="12" t="n">
        <v>6200</v>
      </c>
      <c r="C12" s="18" t="inlineStr"/>
    </row>
    <row r="13">
      <c r="A13" s="16" t="inlineStr">
        <is>
          <t>Carla Souza</t>
        </is>
      </c>
      <c r="B13" s="17" t="n">
        <v>3800</v>
      </c>
      <c r="C13" s="18" t="inlineStr"/>
    </row>
    <row r="14">
      <c r="A14" s="11" t="inlineStr">
        <is>
          <t>Diego Melo</t>
        </is>
      </c>
      <c r="B14" s="12" t="n">
        <v>7100</v>
      </c>
      <c r="C14" s="18" t="inlineStr"/>
    </row>
    <row r="15">
      <c r="A15" s="16" t="inlineStr">
        <is>
          <t>Eva Pereira</t>
        </is>
      </c>
      <c r="B15" s="17" t="n">
        <v>5500</v>
      </c>
      <c r="C15" s="18" t="inlineStr"/>
    </row>
    <row r="16" ht="20" customHeight="1">
      <c r="A16" s="19" t="inlineStr">
        <is>
          <t>💡 Na célula C da 1ª linha: =B___*$B$6  depois arraste para baixo</t>
        </is>
      </c>
    </row>
    <row r="18" ht="20" customHeight="1">
      <c r="A18" s="30" t="inlineStr">
        <is>
          <t xml:space="preserve">  Questão 12</t>
        </is>
      </c>
    </row>
    <row r="19" ht="20" customHeight="1">
      <c r="A19" s="9" t="inlineStr">
        <is>
          <t>12. Calcule a diferença entre as vendas e a meta (use referência absoluta para a meta).</t>
        </is>
      </c>
    </row>
    <row r="20" ht="22" customHeight="1">
      <c r="A20" s="28" t="inlineStr">
        <is>
          <t>Vendedor</t>
        </is>
      </c>
      <c r="B20" s="28" t="inlineStr">
        <is>
          <t>Vendas (R$)</t>
        </is>
      </c>
      <c r="C20" s="28" t="inlineStr">
        <is>
          <t>Diferença para Meta</t>
        </is>
      </c>
    </row>
    <row r="21">
      <c r="A21" s="16" t="inlineStr">
        <is>
          <t>Ana Lima</t>
        </is>
      </c>
      <c r="B21" s="17" t="n">
        <v>4500</v>
      </c>
      <c r="C21" s="18" t="inlineStr"/>
    </row>
    <row r="22">
      <c r="A22" s="11" t="inlineStr">
        <is>
          <t>Bruno Costa</t>
        </is>
      </c>
      <c r="B22" s="12" t="n">
        <v>6200</v>
      </c>
      <c r="C22" s="18" t="inlineStr"/>
    </row>
    <row r="23">
      <c r="A23" s="16" t="inlineStr">
        <is>
          <t>Carla Souza</t>
        </is>
      </c>
      <c r="B23" s="17" t="n">
        <v>3800</v>
      </c>
      <c r="C23" s="18" t="inlineStr"/>
    </row>
    <row r="24">
      <c r="A24" s="11" t="inlineStr">
        <is>
          <t>Diego Melo</t>
        </is>
      </c>
      <c r="B24" s="12" t="n">
        <v>7100</v>
      </c>
      <c r="C24" s="18" t="inlineStr"/>
    </row>
    <row r="25">
      <c r="A25" s="16" t="inlineStr">
        <is>
          <t>Eva Pereira</t>
        </is>
      </c>
      <c r="B25" s="17" t="n">
        <v>5500</v>
      </c>
      <c r="C25" s="18" t="inlineStr"/>
    </row>
    <row r="26" ht="20" customHeight="1">
      <c r="A26" s="19" t="inlineStr">
        <is>
          <t>💡 =B___-$C$6  (positivo=bateu meta, negativo=não bateu)</t>
        </is>
      </c>
    </row>
    <row r="28" ht="20" customHeight="1">
      <c r="A28" s="30" t="inlineStr">
        <is>
          <t xml:space="preserve">  Questão 13</t>
        </is>
      </c>
    </row>
    <row r="29" ht="20" customHeight="1">
      <c r="A29" s="9" t="inlineStr">
        <is>
          <t>13. Some TODAS as vendas da Questão 11 usando referência ao intervalo com $.</t>
        </is>
      </c>
    </row>
    <row r="30" ht="20" customHeight="1">
      <c r="A30" s="13" t="inlineStr">
        <is>
          <t>💡 Use =SOMA($B$XX:$B$YY) — travando o intervalo completamente</t>
        </is>
      </c>
      <c r="B30" s="14" t="n"/>
      <c r="C30" s="14" t="n"/>
      <c r="D30" s="14" t="n"/>
      <c r="E30" s="14" t="n"/>
      <c r="F30" s="15" t="n"/>
    </row>
    <row r="32" ht="20" customHeight="1">
      <c r="A32" s="30" t="inlineStr">
        <is>
          <t xml:space="preserve">  Questão 14</t>
        </is>
      </c>
    </row>
    <row r="33" ht="20" customHeight="1">
      <c r="A33" s="9" t="inlineStr">
        <is>
          <t>14. Escreva a fórmula que buscaria o TOTAL da célula C3 da aba '🔢 Q01-05 Soma Básica+'.</t>
        </is>
      </c>
    </row>
    <row r="34" ht="20" customHeight="1">
      <c r="A34" s="13" t="inlineStr">
        <is>
          <t>💡 Sintaxe: ='Nome da Aba'!CélulaExemplo  →  ='🔢 Q01-05 Soma Básica+'!C3</t>
        </is>
      </c>
      <c r="B34" s="14" t="n"/>
      <c r="C34" s="14" t="n"/>
      <c r="D34" s="14" t="n"/>
      <c r="E34" s="14" t="n"/>
      <c r="F34" s="15" t="n"/>
    </row>
    <row r="36" ht="20" customHeight="1">
      <c r="A36" s="30" t="inlineStr">
        <is>
          <t xml:space="preserve">  Questão 15</t>
        </is>
      </c>
    </row>
    <row r="37" ht="20" customHeight="1">
      <c r="A37" s="9" t="inlineStr">
        <is>
          <t>15. Monte uma célula que soma valores de DUAS abas diferentes (simule digitando as fórmulas).</t>
        </is>
      </c>
    </row>
    <row r="38">
      <c r="A38" s="20" t="inlineStr">
        <is>
          <t>Valor da Aba Q01-05 (C8):</t>
        </is>
      </c>
      <c r="B38" s="31" t="inlineStr"/>
    </row>
    <row r="39">
      <c r="A39" s="21" t="inlineStr">
        <is>
          <t>Valor da Aba Q06-10 (C14):</t>
        </is>
      </c>
      <c r="B39" s="31" t="inlineStr"/>
    </row>
    <row r="40">
      <c r="A40" s="20" t="inlineStr">
        <is>
          <t>SOMA DAS DUAS ABAS:</t>
        </is>
      </c>
      <c r="B40" s="31" t="inlineStr"/>
    </row>
    <row r="41" ht="20" customHeight="1">
      <c r="A41" s="19" t="inlineStr">
        <is>
          <t>💡 Célula 3: ='🔢 Q01-05 Soma Básica+'!C8 + '📊 Q06-10 SOMASE'!C14</t>
        </is>
      </c>
    </row>
  </sheetData>
  <mergeCells count="20">
    <mergeCell ref="A41:F41"/>
    <mergeCell ref="A16:F16"/>
    <mergeCell ref="A30:B30"/>
    <mergeCell ref="A37:F37"/>
    <mergeCell ref="A18:F18"/>
    <mergeCell ref="A26:F26"/>
    <mergeCell ref="A2:F2"/>
    <mergeCell ref="A33:F33"/>
    <mergeCell ref="A32:F32"/>
    <mergeCell ref="A8:F8"/>
    <mergeCell ref="A4:F4"/>
    <mergeCell ref="A29:F29"/>
    <mergeCell ref="A28:F28"/>
    <mergeCell ref="A19:F19"/>
    <mergeCell ref="A9:F9"/>
    <mergeCell ref="A34:F34"/>
    <mergeCell ref="A30:F30"/>
    <mergeCell ref="A36:F36"/>
    <mergeCell ref="A1:F1"/>
    <mergeCell ref="A34:B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 ht="36" customHeight="1">
      <c r="A1" s="32" t="inlineStr">
        <is>
          <t>🧩  Questões 16 a 20 — SOMASES e SUBTOTAL</t>
        </is>
      </c>
    </row>
    <row r="2" ht="30" customHeight="1">
      <c r="A2" s="2" t="inlineStr">
        <is>
          <t>SOMASES: múltiplos critérios  |  SUBTOTAL: ignora linhas ocultas/filtradas</t>
        </is>
      </c>
    </row>
    <row r="4" ht="22" customHeight="1">
      <c r="A4" s="33" t="inlineStr">
        <is>
          <t>📌  Tabela de Vendas por Vendedor, Região, Produto e Mês (usada nas Q16-19)</t>
        </is>
      </c>
    </row>
    <row r="5" ht="22" customHeight="1">
      <c r="A5" s="34" t="inlineStr">
        <is>
          <t>Vendedor</t>
        </is>
      </c>
      <c r="B5" s="34" t="inlineStr">
        <is>
          <t>Região</t>
        </is>
      </c>
      <c r="C5" s="34" t="inlineStr">
        <is>
          <t>Produto</t>
        </is>
      </c>
      <c r="D5" s="34" t="inlineStr">
        <is>
          <t>Mês</t>
        </is>
      </c>
      <c r="E5" s="34" t="inlineStr">
        <is>
          <t>Vendas (R$)</t>
        </is>
      </c>
    </row>
    <row r="6">
      <c r="A6" s="16" t="inlineStr">
        <is>
          <t>Ana</t>
        </is>
      </c>
      <c r="B6" s="16" t="inlineStr">
        <is>
          <t>Norte</t>
        </is>
      </c>
      <c r="C6" s="16" t="inlineStr">
        <is>
          <t>Notebook</t>
        </is>
      </c>
      <c r="D6" s="16" t="inlineStr">
        <is>
          <t>Jan</t>
        </is>
      </c>
      <c r="E6" s="17" t="n">
        <v>3500</v>
      </c>
    </row>
    <row r="7">
      <c r="A7" s="11" t="inlineStr">
        <is>
          <t>Ana</t>
        </is>
      </c>
      <c r="B7" s="11" t="inlineStr">
        <is>
          <t>Norte</t>
        </is>
      </c>
      <c r="C7" s="11" t="inlineStr">
        <is>
          <t>Celular</t>
        </is>
      </c>
      <c r="D7" s="11" t="inlineStr">
        <is>
          <t>Jan</t>
        </is>
      </c>
      <c r="E7" s="12" t="n">
        <v>1200</v>
      </c>
    </row>
    <row r="8">
      <c r="A8" s="16" t="inlineStr">
        <is>
          <t>Bruno</t>
        </is>
      </c>
      <c r="B8" s="16" t="inlineStr">
        <is>
          <t>Sul</t>
        </is>
      </c>
      <c r="C8" s="16" t="inlineStr">
        <is>
          <t>Notebook</t>
        </is>
      </c>
      <c r="D8" s="16" t="inlineStr">
        <is>
          <t>Jan</t>
        </is>
      </c>
      <c r="E8" s="17" t="n">
        <v>2800</v>
      </c>
    </row>
    <row r="9">
      <c r="A9" s="11" t="inlineStr">
        <is>
          <t>Bruno</t>
        </is>
      </c>
      <c r="B9" s="11" t="inlineStr">
        <is>
          <t>Sul</t>
        </is>
      </c>
      <c r="C9" s="11" t="inlineStr">
        <is>
          <t>Tablet</t>
        </is>
      </c>
      <c r="D9" s="11" t="inlineStr">
        <is>
          <t>Fev</t>
        </is>
      </c>
      <c r="E9" s="12" t="n">
        <v>950</v>
      </c>
    </row>
    <row r="10">
      <c r="A10" s="16" t="inlineStr">
        <is>
          <t>Carla</t>
        </is>
      </c>
      <c r="B10" s="16" t="inlineStr">
        <is>
          <t>Norte</t>
        </is>
      </c>
      <c r="C10" s="16" t="inlineStr">
        <is>
          <t>Celular</t>
        </is>
      </c>
      <c r="D10" s="16" t="inlineStr">
        <is>
          <t>Fev</t>
        </is>
      </c>
      <c r="E10" s="17" t="n">
        <v>1400</v>
      </c>
    </row>
    <row r="11">
      <c r="A11" s="11" t="inlineStr">
        <is>
          <t>Carla</t>
        </is>
      </c>
      <c r="B11" s="11" t="inlineStr">
        <is>
          <t>Norte</t>
        </is>
      </c>
      <c r="C11" s="11" t="inlineStr">
        <is>
          <t>Notebook</t>
        </is>
      </c>
      <c r="D11" s="11" t="inlineStr">
        <is>
          <t>Fev</t>
        </is>
      </c>
      <c r="E11" s="12" t="n">
        <v>3200</v>
      </c>
    </row>
    <row r="12">
      <c r="A12" s="16" t="inlineStr">
        <is>
          <t>Diego</t>
        </is>
      </c>
      <c r="B12" s="16" t="inlineStr">
        <is>
          <t>Leste</t>
        </is>
      </c>
      <c r="C12" s="16" t="inlineStr">
        <is>
          <t>Tablet</t>
        </is>
      </c>
      <c r="D12" s="16" t="inlineStr">
        <is>
          <t>Jan</t>
        </is>
      </c>
      <c r="E12" s="17" t="n">
        <v>1100</v>
      </c>
    </row>
    <row r="13">
      <c r="A13" s="11" t="inlineStr">
        <is>
          <t>Diego</t>
        </is>
      </c>
      <c r="B13" s="11" t="inlineStr">
        <is>
          <t>Leste</t>
        </is>
      </c>
      <c r="C13" s="11" t="inlineStr">
        <is>
          <t>Celular</t>
        </is>
      </c>
      <c r="D13" s="11" t="inlineStr">
        <is>
          <t>Mar</t>
        </is>
      </c>
      <c r="E13" s="12" t="n">
        <v>800</v>
      </c>
    </row>
    <row r="14">
      <c r="A14" s="16" t="inlineStr">
        <is>
          <t>Eva</t>
        </is>
      </c>
      <c r="B14" s="16" t="inlineStr">
        <is>
          <t>Sul</t>
        </is>
      </c>
      <c r="C14" s="16" t="inlineStr">
        <is>
          <t>Notebook</t>
        </is>
      </c>
      <c r="D14" s="16" t="inlineStr">
        <is>
          <t>Mar</t>
        </is>
      </c>
      <c r="E14" s="17" t="n">
        <v>3900</v>
      </c>
    </row>
    <row r="15">
      <c r="A15" s="11" t="inlineStr">
        <is>
          <t>Eva</t>
        </is>
      </c>
      <c r="B15" s="11" t="inlineStr">
        <is>
          <t>Sul</t>
        </is>
      </c>
      <c r="C15" s="11" t="inlineStr">
        <is>
          <t>Tablet</t>
        </is>
      </c>
      <c r="D15" s="11" t="inlineStr">
        <is>
          <t>Mar</t>
        </is>
      </c>
      <c r="E15" s="12" t="n">
        <v>1050</v>
      </c>
    </row>
    <row r="16">
      <c r="A16" s="16" t="inlineStr">
        <is>
          <t>Felipe</t>
        </is>
      </c>
      <c r="B16" s="16" t="inlineStr">
        <is>
          <t>Norte</t>
        </is>
      </c>
      <c r="C16" s="16" t="inlineStr">
        <is>
          <t>Celular</t>
        </is>
      </c>
      <c r="D16" s="16" t="inlineStr">
        <is>
          <t>Jan</t>
        </is>
      </c>
      <c r="E16" s="17" t="n">
        <v>950</v>
      </c>
    </row>
    <row r="17">
      <c r="A17" s="11" t="inlineStr">
        <is>
          <t>Felipe</t>
        </is>
      </c>
      <c r="B17" s="11" t="inlineStr">
        <is>
          <t>Norte</t>
        </is>
      </c>
      <c r="C17" s="11" t="inlineStr">
        <is>
          <t>Notebook</t>
        </is>
      </c>
      <c r="D17" s="11" t="inlineStr">
        <is>
          <t>Fev</t>
        </is>
      </c>
      <c r="E17" s="12" t="n">
        <v>2600</v>
      </c>
    </row>
    <row r="19" ht="20" customHeight="1">
      <c r="A19" s="35" t="inlineStr">
        <is>
          <t xml:space="preserve">  Questão 16</t>
        </is>
      </c>
    </row>
    <row r="20" ht="20" customHeight="1">
      <c r="A20" s="9" t="inlineStr">
        <is>
          <t>16. Some vendas da região NORTE do produto "Notebook" (dois critérios — use SOMASES).</t>
        </is>
      </c>
    </row>
    <row r="21" ht="20" customHeight="1">
      <c r="A21" s="13" t="inlineStr">
        <is>
          <t>💡 =SOMASES(E6:E17;B6:B17;"Norte";C6:C17;"Notebook")</t>
        </is>
      </c>
      <c r="B21" s="14" t="n"/>
      <c r="C21" s="14" t="n"/>
      <c r="D21" s="14" t="n"/>
      <c r="E21" s="14" t="n"/>
      <c r="F21" s="14" t="n"/>
      <c r="G21" s="15" t="n"/>
    </row>
    <row r="23" ht="20" customHeight="1">
      <c r="A23" s="35" t="inlineStr">
        <is>
          <t xml:space="preserve">  Questão 17</t>
        </is>
      </c>
    </row>
    <row r="24" ht="20" customHeight="1">
      <c r="A24" s="9" t="inlineStr">
        <is>
          <t>17. Some vendas de "Ana" no mês de "Jan" (dois critérios).</t>
        </is>
      </c>
    </row>
    <row r="25" ht="20" customHeight="1">
      <c r="A25" s="13" t="inlineStr">
        <is>
          <t>💡 =SOMASES(E6:E17;A6:A17;"Ana";D6:D17;"Jan")</t>
        </is>
      </c>
      <c r="B25" s="14" t="n"/>
      <c r="C25" s="14" t="n"/>
      <c r="D25" s="14" t="n"/>
      <c r="E25" s="14" t="n"/>
      <c r="F25" s="14" t="n"/>
      <c r="G25" s="15" t="n"/>
    </row>
    <row r="27" ht="20" customHeight="1">
      <c r="A27" s="35" t="inlineStr">
        <is>
          <t xml:space="preserve">  Questão 18</t>
        </is>
      </c>
    </row>
    <row r="28" ht="20" customHeight="1">
      <c r="A28" s="9" t="inlineStr">
        <is>
          <t>18. Some vendas do produto "Celular" acima de R$ 1.000 (SOMASES com critério numérico).</t>
        </is>
      </c>
    </row>
    <row r="29" ht="20" customHeight="1">
      <c r="A29" s="13" t="inlineStr">
        <is>
          <t>💡 =SOMASES(E6:E17;C6:C17;"Celular";E6:E17;"&gt;1000")</t>
        </is>
      </c>
      <c r="B29" s="14" t="n"/>
      <c r="C29" s="14" t="n"/>
      <c r="D29" s="14" t="n"/>
      <c r="E29" s="14" t="n"/>
      <c r="F29" s="14" t="n"/>
      <c r="G29" s="15" t="n"/>
    </row>
    <row r="31" ht="20" customHeight="1">
      <c r="A31" s="35" t="inlineStr">
        <is>
          <t xml:space="preserve">  Questão 19</t>
        </is>
      </c>
    </row>
    <row r="32" ht="20" customHeight="1">
      <c r="A32" s="9" t="inlineStr">
        <is>
          <t>19. Some vendas da região SUL no mês "Mar" do produto "Notebook" (três critérios).</t>
        </is>
      </c>
    </row>
    <row r="33" ht="20" customHeight="1">
      <c r="A33" s="13" t="inlineStr">
        <is>
          <t>💡 =SOMASES(E..;B..;"Sul";C..;"Notebook";D..;"Mar")  — 3 pares critério!</t>
        </is>
      </c>
      <c r="B33" s="14" t="n"/>
      <c r="C33" s="14" t="n"/>
      <c r="D33" s="14" t="n"/>
      <c r="E33" s="14" t="n"/>
      <c r="F33" s="14" t="n"/>
      <c r="G33" s="15" t="n"/>
    </row>
    <row r="35" ht="20" customHeight="1">
      <c r="A35" s="35" t="inlineStr">
        <is>
          <t xml:space="preserve">  Questão 20</t>
        </is>
      </c>
    </row>
    <row r="36" ht="24" customHeight="1">
      <c r="A36" s="9" t="inlineStr">
        <is>
          <t>20. Use SUBTOTAL(9;intervalo) para somar os valores abaixo. Depois filtre e veja a diferença com SOMA!</t>
        </is>
      </c>
    </row>
    <row r="37" ht="22" customHeight="1">
      <c r="A37" s="34" t="inlineStr">
        <is>
          <t>Produto</t>
        </is>
      </c>
      <c r="B37" s="34" t="inlineStr">
        <is>
          <t>Qtd</t>
        </is>
      </c>
      <c r="C37" s="34" t="inlineStr">
        <is>
          <t>Valor Unit. (R$)</t>
        </is>
      </c>
      <c r="D37" s="34" t="inlineStr">
        <is>
          <t>Total (R$)</t>
        </is>
      </c>
    </row>
    <row r="38">
      <c r="A38" s="16" t="inlineStr">
        <is>
          <t>Notebook</t>
        </is>
      </c>
      <c r="B38" s="16" t="n">
        <v>3</v>
      </c>
      <c r="C38" s="17" t="n">
        <v>2800</v>
      </c>
      <c r="D38" s="18" t="inlineStr"/>
    </row>
    <row r="39">
      <c r="A39" s="11" t="inlineStr">
        <is>
          <t>Tablet</t>
        </is>
      </c>
      <c r="B39" s="11" t="n">
        <v>5</v>
      </c>
      <c r="C39" s="12" t="n">
        <v>950</v>
      </c>
      <c r="D39" s="18" t="inlineStr"/>
    </row>
    <row r="40">
      <c r="A40" s="16" t="inlineStr">
        <is>
          <t>Celular</t>
        </is>
      </c>
      <c r="B40" s="16" t="n">
        <v>8</v>
      </c>
      <c r="C40" s="17" t="n">
        <v>1200</v>
      </c>
      <c r="D40" s="18" t="inlineStr"/>
    </row>
    <row r="41">
      <c r="A41" s="11" t="inlineStr">
        <is>
          <t>Fone</t>
        </is>
      </c>
      <c r="B41" s="11" t="n">
        <v>12</v>
      </c>
      <c r="C41" s="12" t="n">
        <v>180</v>
      </c>
      <c r="D41" s="18" t="inlineStr"/>
    </row>
    <row r="42">
      <c r="A42" s="16" t="inlineStr">
        <is>
          <t>Carregador</t>
        </is>
      </c>
      <c r="B42" s="16" t="n">
        <v>20</v>
      </c>
      <c r="C42" s="17" t="n">
        <v>85</v>
      </c>
      <c r="D42" s="18" t="inlineStr"/>
    </row>
    <row r="43">
      <c r="A43" s="36" t="inlineStr">
        <is>
          <t>SOMA normal:</t>
        </is>
      </c>
      <c r="D43" s="18" t="inlineStr"/>
    </row>
    <row r="44">
      <c r="A44" s="36" t="inlineStr">
        <is>
          <t>SUBTOTAL (9):</t>
        </is>
      </c>
      <c r="D44" s="18" t="inlineStr"/>
    </row>
    <row r="45" ht="20" customHeight="1">
      <c r="A45" s="19" t="inlineStr">
        <is>
          <t>💡 Total linha: =B___*C___  | SOMA: =SOMA(D38:D42)  |  SUBTOTAL: =SUBTOTAL(9;D38:D42)</t>
        </is>
      </c>
    </row>
  </sheetData>
  <mergeCells count="24">
    <mergeCell ref="A32:G32"/>
    <mergeCell ref="A25:C25"/>
    <mergeCell ref="A35:G35"/>
    <mergeCell ref="A4:G4"/>
    <mergeCell ref="A20:G20"/>
    <mergeCell ref="A21:C21"/>
    <mergeCell ref="A29:G29"/>
    <mergeCell ref="A19:G19"/>
    <mergeCell ref="A28:G28"/>
    <mergeCell ref="A33:C33"/>
    <mergeCell ref="A31:G31"/>
    <mergeCell ref="A24:G24"/>
    <mergeCell ref="A29:C29"/>
    <mergeCell ref="A43:C43"/>
    <mergeCell ref="A45:G45"/>
    <mergeCell ref="A36:G36"/>
    <mergeCell ref="A1:G1"/>
    <mergeCell ref="A44:C44"/>
    <mergeCell ref="A25:G25"/>
    <mergeCell ref="A27:G27"/>
    <mergeCell ref="A21:G21"/>
    <mergeCell ref="A2:G2"/>
    <mergeCell ref="A33:G33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38" customWidth="1" min="4" max="4"/>
    <col width="10" customWidth="1" min="5" max="5"/>
    <col width="10" customWidth="1" min="6" max="6"/>
  </cols>
  <sheetData>
    <row r="1" ht="36" customHeight="1">
      <c r="A1" s="32" t="inlineStr">
        <is>
          <t>✅  GABARITO COMENTADO — Abrir somente após terminar todas as questões!</t>
        </is>
      </c>
    </row>
    <row r="3" ht="22" customHeight="1">
      <c r="A3" s="34" t="inlineStr">
        <is>
          <t>Questão</t>
        </is>
      </c>
      <c r="B3" s="34" t="inlineStr">
        <is>
          <t>Fórmula Esperada</t>
        </is>
      </c>
      <c r="C3" s="34" t="inlineStr">
        <is>
          <t>Resultado</t>
        </is>
      </c>
      <c r="D3" s="34" t="inlineStr">
        <is>
          <t>Explicação</t>
        </is>
      </c>
    </row>
    <row r="4" ht="22" customHeight="1">
      <c r="A4" s="37" t="inlineStr">
        <is>
          <t>Q01</t>
        </is>
      </c>
      <c r="B4" s="38">
        <f>SOMA(B4:G4)</f>
        <v/>
      </c>
      <c r="C4" s="39" t="inlineStr">
        <is>
          <t>R$ 23.750,00</t>
        </is>
      </c>
      <c r="D4" s="40" t="inlineStr">
        <is>
          <t>Intervalo contínuo de 6 células</t>
        </is>
      </c>
    </row>
    <row r="5" ht="22" customHeight="1">
      <c r="A5" s="41" t="inlineStr">
        <is>
          <t>Q02</t>
        </is>
      </c>
      <c r="B5" s="42">
        <f>SOMA(B10;D10;F10)</f>
        <v/>
      </c>
      <c r="C5" s="11" t="inlineStr">
        <is>
          <t>R$ 5.400,00</t>
        </is>
      </c>
      <c r="D5" s="21" t="inlineStr">
        <is>
          <t>Células não contíguas separadas por ;</t>
        </is>
      </c>
    </row>
    <row r="6" ht="22" customHeight="1">
      <c r="A6" s="37" t="inlineStr">
        <is>
          <t>Q03</t>
        </is>
      </c>
      <c r="B6" s="38" t="inlineStr">
        <is>
          <t>Jan: =SOMA(B___:B___)  Fev: =SOMA(B___:B___) …</t>
        </is>
      </c>
      <c r="C6" s="39" t="inlineStr">
        <is>
          <t>Acumulado</t>
        </is>
      </c>
      <c r="D6" s="40" t="inlineStr">
        <is>
          <t>Cada linha expande o intervalo em 1</t>
        </is>
      </c>
    </row>
    <row r="7" ht="22" customHeight="1">
      <c r="A7" s="41" t="inlineStr">
        <is>
          <t>Q04</t>
        </is>
      </c>
      <c r="B7" s="42">
        <f>SOMA(B___:B___)</f>
        <v/>
      </c>
      <c r="C7" s="11" t="inlineStr">
        <is>
          <t>R$ 2.850,00</t>
        </is>
      </c>
      <c r="D7" s="21" t="inlineStr">
        <is>
          <t>Negativos reduzem automaticamente</t>
        </is>
      </c>
    </row>
    <row r="8" ht="22" customHeight="1">
      <c r="A8" s="37" t="inlineStr">
        <is>
          <t>Q05</t>
        </is>
      </c>
      <c r="B8" s="38" t="inlineStr">
        <is>
          <t>Subtotal: =SOMA(B___:D___)  |  Total: =SOMA(E___:E___)</t>
        </is>
      </c>
      <c r="C8" s="39" t="inlineStr">
        <is>
          <t>Varia</t>
        </is>
      </c>
      <c r="D8" s="40" t="inlineStr">
        <is>
          <t>Soma de somas</t>
        </is>
      </c>
    </row>
    <row r="9" ht="22" customHeight="1">
      <c r="A9" s="41" t="inlineStr">
        <is>
          <t>Q06</t>
        </is>
      </c>
      <c r="B9" s="42">
        <f>SOMASE(B5:B14;"Norte";C5:C14)</f>
        <v/>
      </c>
      <c r="C9" s="11" t="inlineStr">
        <is>
          <t>R$ 5.280,00</t>
        </is>
      </c>
      <c r="D9" s="21" t="inlineStr">
        <is>
          <t>Critério de texto entre aspas</t>
        </is>
      </c>
    </row>
    <row r="10" ht="22" customHeight="1">
      <c r="A10" s="37" t="inlineStr">
        <is>
          <t>Q07</t>
        </is>
      </c>
      <c r="B10" s="38">
        <f>SOMASE(B5:B14;"Sul";C5:C14)</f>
        <v/>
      </c>
      <c r="C10" s="39" t="inlineStr">
        <is>
          <t>R$ 2.870,00</t>
        </is>
      </c>
      <c r="D10" s="40" t="inlineStr">
        <is>
          <t>Mesmo padrão, critério diferente</t>
        </is>
      </c>
    </row>
    <row r="11" ht="22" customHeight="1">
      <c r="A11" s="41" t="inlineStr">
        <is>
          <t>Q08</t>
        </is>
      </c>
      <c r="B11" s="42">
        <f>SOMASE(C5:C14;"&gt;1000")</f>
        <v/>
      </c>
      <c r="C11" s="11" t="inlineStr">
        <is>
          <t>R$ 6.650,00</t>
        </is>
      </c>
      <c r="D11" s="21" t="inlineStr">
        <is>
          <t>Critério numérico com operador</t>
        </is>
      </c>
    </row>
    <row r="12" ht="22" customHeight="1">
      <c r="A12" s="37" t="inlineStr">
        <is>
          <t>Q09</t>
        </is>
      </c>
      <c r="B12" s="38">
        <f>SOMASE(C5:C14;"&lt;1000")</f>
        <v/>
      </c>
      <c r="C12" s="39" t="inlineStr">
        <is>
          <t>R$ 2.500,00</t>
        </is>
      </c>
      <c r="D12" s="40" t="inlineStr">
        <is>
          <t>Mesma lógica, sinal invertido</t>
        </is>
      </c>
    </row>
    <row r="13" ht="22" customHeight="1">
      <c r="A13" s="41" t="inlineStr">
        <is>
          <t>Q10</t>
        </is>
      </c>
      <c r="B13" s="42">
        <f>SOMASE(A5:A14;"Ana";C5:C14)+SOMASE(…;"Carla";…)</f>
        <v/>
      </c>
      <c r="C13" s="11" t="inlineStr">
        <is>
          <t>R$ 4.200,00</t>
        </is>
      </c>
      <c r="D13" s="21" t="inlineStr">
        <is>
          <t>Dois SOMASE somados</t>
        </is>
      </c>
    </row>
    <row r="14" ht="22" customHeight="1">
      <c r="A14" s="37" t="inlineStr">
        <is>
          <t>Q11</t>
        </is>
      </c>
      <c r="B14" s="38">
        <f>B___*$B$6  (arrastar)</f>
        <v/>
      </c>
      <c r="C14" s="39" t="inlineStr">
        <is>
          <t>Varia</t>
        </is>
      </c>
      <c r="D14" s="40" t="inlineStr">
        <is>
          <t>$ trava a linha e coluna da taxa</t>
        </is>
      </c>
    </row>
    <row r="15" ht="22" customHeight="1">
      <c r="A15" s="41" t="inlineStr">
        <is>
          <t>Q12</t>
        </is>
      </c>
      <c r="B15" s="42">
        <f>B___-$C$6  (arrastar)</f>
        <v/>
      </c>
      <c r="C15" s="11" t="inlineStr">
        <is>
          <t>Varia</t>
        </is>
      </c>
      <c r="D15" s="21" t="inlineStr">
        <is>
          <t>$ trava a meta para todas as linhas</t>
        </is>
      </c>
    </row>
    <row r="16" ht="22" customHeight="1">
      <c r="A16" s="37" t="inlineStr">
        <is>
          <t>Q13</t>
        </is>
      </c>
      <c r="B16" s="38">
        <f>SOMA($B$XX:$B$YY)</f>
        <v/>
      </c>
      <c r="C16" s="39" t="inlineStr">
        <is>
          <t>R$ 27.100,00</t>
        </is>
      </c>
      <c r="D16" s="40" t="inlineStr">
        <is>
          <t>Referência absoluta no intervalo</t>
        </is>
      </c>
    </row>
    <row r="17" ht="22" customHeight="1">
      <c r="A17" s="41" t="inlineStr">
        <is>
          <t>Q14</t>
        </is>
      </c>
      <c r="B17" s="42">
        <f>'🔢 Q01-05 Soma Básica+'!C3</f>
        <v/>
      </c>
      <c r="C17" s="11" t="inlineStr">
        <is>
          <t>Valor da célula</t>
        </is>
      </c>
      <c r="D17" s="21" t="inlineStr">
        <is>
          <t>Sintaxe de referência entre abas</t>
        </is>
      </c>
    </row>
    <row r="18" ht="22" customHeight="1">
      <c r="A18" s="37" t="inlineStr">
        <is>
          <t>Q15</t>
        </is>
      </c>
      <c r="B18" s="38">
        <f>'Aba1'!Célula + 'Aba2'!Célula</f>
        <v/>
      </c>
      <c r="C18" s="39" t="inlineStr">
        <is>
          <t>Soma das duas</t>
        </is>
      </c>
      <c r="D18" s="40" t="inlineStr">
        <is>
          <t>Combine duas referências com +</t>
        </is>
      </c>
    </row>
    <row r="19" ht="22" customHeight="1">
      <c r="A19" s="41" t="inlineStr">
        <is>
          <t>Q16</t>
        </is>
      </c>
      <c r="B19" s="42">
        <f>SOMASES(E..;B..;"Norte";C..;"Notebook")</f>
        <v/>
      </c>
      <c r="C19" s="11" t="inlineStr">
        <is>
          <t>R$ 9.300,00</t>
        </is>
      </c>
      <c r="D19" s="21" t="inlineStr">
        <is>
          <t>Dois critérios no SOMASES</t>
        </is>
      </c>
    </row>
    <row r="20" ht="22" customHeight="1">
      <c r="A20" s="37" t="inlineStr">
        <is>
          <t>Q17</t>
        </is>
      </c>
      <c r="B20" s="38">
        <f>SOMASES(E..;A..;"Ana";D..;"Jan")</f>
        <v/>
      </c>
      <c r="C20" s="39" t="inlineStr">
        <is>
          <t>R$ 4.700,00</t>
        </is>
      </c>
      <c r="D20" s="40" t="inlineStr">
        <is>
          <t>Vendedor + Mês</t>
        </is>
      </c>
    </row>
    <row r="21" ht="22" customHeight="1">
      <c r="A21" s="41" t="inlineStr">
        <is>
          <t>Q18</t>
        </is>
      </c>
      <c r="B21" s="42">
        <f>SOMASES(E..;C..;"Celular";E..);"&gt;1000")</f>
        <v/>
      </c>
      <c r="C21" s="11" t="inlineStr">
        <is>
          <t>R$ 2.600,00</t>
        </is>
      </c>
      <c r="D21" s="21" t="inlineStr">
        <is>
          <t>Texto + número como critérios</t>
        </is>
      </c>
    </row>
    <row r="22" ht="22" customHeight="1">
      <c r="A22" s="37" t="inlineStr">
        <is>
          <t>Q19</t>
        </is>
      </c>
      <c r="B22" s="38">
        <f>SOMASES(E..;B..;"Sul";C..;"Notebook";D..;"Mar")</f>
        <v/>
      </c>
      <c r="C22" s="39" t="inlineStr">
        <is>
          <t>R$ 3.900,00</t>
        </is>
      </c>
      <c r="D22" s="40" t="inlineStr">
        <is>
          <t>Três critérios simultâneos</t>
        </is>
      </c>
    </row>
    <row r="23" ht="22" customHeight="1">
      <c r="A23" s="41" t="inlineStr">
        <is>
          <t>Q20</t>
        </is>
      </c>
      <c r="B23" s="42" t="inlineStr">
        <is>
          <t>Total linha: =B*C  |  SUBTOTAL(9;D:D)</t>
        </is>
      </c>
      <c r="C23" s="11" t="inlineStr">
        <is>
          <t>Varia</t>
        </is>
      </c>
      <c r="D23" s="21" t="inlineStr">
        <is>
          <t>SUBTOTAL ignora filtros; SOMA não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2026-04-15T18:33:16Z</dcterms:created>
  <dcterms:modified xmlns:dcterms="http://purl.org/dc/terms/" xmlns:xsi="http://www.w3.org/2001/XMLSchema-instance" xsi:type="dcterms:W3CDTF">2026-04-15T18:33:16Z</dcterms:modified>
</cp:coreProperties>
</file>
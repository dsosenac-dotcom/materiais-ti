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➕ Calculadora Geral" sheetId="1" state="visible" r:id="rId3"/>
    <sheet name="📂 Soma por Categoria" sheetId="2" state="visible" r:id="rId4"/>
    <sheet name="📅 Orçamento Mens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<sst xmlns="http://schemas.openxmlformats.org/spreadsheetml/2006/main" count="268" uniqueCount="193">
  <si>
    <t xml:space="preserve">➕  CALCULADORA DE SOMA AUTOMÁTICA</t>
  </si>
  <si>
    <t xml:space="preserve">Digite os valores nas células amarelas → os totais são calculados automaticamente</t>
  </si>
  <si>
    <t xml:space="preserve">📋 LISTA 1 — Soma Simples</t>
  </si>
  <si>
    <t xml:space="preserve">💰 RECEITAS vs DESPESAS</t>
  </si>
  <si>
    <t xml:space="preserve">📊 GRADE MULTI-COLUNA</t>
  </si>
  <si>
    <t xml:space="preserve">Item 1</t>
  </si>
  <si>
    <t xml:space="preserve">RECEITAS</t>
  </si>
  <si>
    <t xml:space="preserve">Coluna A</t>
  </si>
  <si>
    <t xml:space="preserve">Coluna B</t>
  </si>
  <si>
    <t xml:space="preserve">Coluna C</t>
  </si>
  <si>
    <t xml:space="preserve">Item 2</t>
  </si>
  <si>
    <t xml:space="preserve">Salário/Pró-labore</t>
  </si>
  <si>
    <t xml:space="preserve">Item 3</t>
  </si>
  <si>
    <t xml:space="preserve">Freelance / Extra</t>
  </si>
  <si>
    <t xml:space="preserve">Item 4</t>
  </si>
  <si>
    <t xml:space="preserve">Aluguel Recebido</t>
  </si>
  <si>
    <t xml:space="preserve">Item 5</t>
  </si>
  <si>
    <t xml:space="preserve">Outros Créditos</t>
  </si>
  <si>
    <t xml:space="preserve">Item 6</t>
  </si>
  <si>
    <t xml:space="preserve">Renda de Investim.</t>
  </si>
  <si>
    <t xml:space="preserve">Item 7</t>
  </si>
  <si>
    <t xml:space="preserve">Total Receitas →</t>
  </si>
  <si>
    <t xml:space="preserve">Item 8</t>
  </si>
  <si>
    <t xml:space="preserve">Item 9</t>
  </si>
  <si>
    <t xml:space="preserve">DESPESAS</t>
  </si>
  <si>
    <t xml:space="preserve">Item 10</t>
  </si>
  <si>
    <t xml:space="preserve">Aluguel / Moradia</t>
  </si>
  <si>
    <t xml:space="preserve">Item 11</t>
  </si>
  <si>
    <t xml:space="preserve">Alimentação</t>
  </si>
  <si>
    <t xml:space="preserve">Item 12</t>
  </si>
  <si>
    <t xml:space="preserve">Transporte</t>
  </si>
  <si>
    <t xml:space="preserve">Item 13</t>
  </si>
  <si>
    <t xml:space="preserve">Saúde / Plano</t>
  </si>
  <si>
    <t xml:space="preserve">TOTAL GERAL →</t>
  </si>
  <si>
    <t xml:space="preserve">Item 14</t>
  </si>
  <si>
    <t xml:space="preserve">Educação / Cursos</t>
  </si>
  <si>
    <t xml:space="preserve">Média Geral →</t>
  </si>
  <si>
    <t xml:space="preserve">Item 15</t>
  </si>
  <si>
    <t xml:space="preserve">Lazer / Assinaturas</t>
  </si>
  <si>
    <t xml:space="preserve">Contas (luz/água)</t>
  </si>
  <si>
    <t xml:space="preserve">SUBTOTAL A →</t>
  </si>
  <si>
    <t xml:space="preserve">Outros Gastos</t>
  </si>
  <si>
    <t xml:space="preserve">Média →</t>
  </si>
  <si>
    <t xml:space="preserve">Total Despesas →</t>
  </si>
  <si>
    <t xml:space="preserve">Mínimo →</t>
  </si>
  <si>
    <t xml:space="preserve">Máximo →</t>
  </si>
  <si>
    <t xml:space="preserve">💰 SALDO DO MÊS →</t>
  </si>
  <si>
    <t xml:space="preserve">🟡 Célula amarela = você digita aqui</t>
  </si>
  <si>
    <t xml:space="preserve">🟢 Célula verde = calculada automaticamente</t>
  </si>
  <si>
    <t xml:space="preserve">🔵 Célula azul = resultado final / total</t>
  </si>
  <si>
    <t xml:space="preserve">📂  SOMA AUTOMÁTICA POR CATEGORIA</t>
  </si>
  <si>
    <t xml:space="preserve">Lance seus valores com a categoria → o resumo à direita soma automaticamente por grupo</t>
  </si>
  <si>
    <t xml:space="preserve">Nº</t>
  </si>
  <si>
    <t xml:space="preserve">Descrição</t>
  </si>
  <si>
    <t xml:space="preserve">Categoria</t>
  </si>
  <si>
    <t xml:space="preserve">Valor (R$)</t>
  </si>
  <si>
    <t xml:space="preserve">Observação</t>
  </si>
  <si>
    <t xml:space="preserve">📊 SOMA POR CATEGORIA</t>
  </si>
  <si>
    <t xml:space="preserve">Supermercado Extra</t>
  </si>
  <si>
    <t xml:space="preserve">Compra mensal</t>
  </si>
  <si>
    <t xml:space="preserve">Uber/99</t>
  </si>
  <si>
    <t xml:space="preserve">Corridas da semana</t>
  </si>
  <si>
    <t xml:space="preserve">Aluguel</t>
  </si>
  <si>
    <t xml:space="preserve">Moradia</t>
  </si>
  <si>
    <t xml:space="preserve">Abril/2025</t>
  </si>
  <si>
    <t xml:space="preserve">Plano de Saúde</t>
  </si>
  <si>
    <t xml:space="preserve">Saúde</t>
  </si>
  <si>
    <t xml:space="preserve">Unimed</t>
  </si>
  <si>
    <t xml:space="preserve">Curso Excel</t>
  </si>
  <si>
    <t xml:space="preserve">Educação</t>
  </si>
  <si>
    <t xml:space="preserve">Udemy</t>
  </si>
  <si>
    <t xml:space="preserve">Netflix</t>
  </si>
  <si>
    <t xml:space="preserve">Lazer</t>
  </si>
  <si>
    <t xml:space="preserve">Streaming</t>
  </si>
  <si>
    <t xml:space="preserve">Calçado esportivo</t>
  </si>
  <si>
    <t xml:space="preserve">Vestuário</t>
  </si>
  <si>
    <t xml:space="preserve">Loja Sport</t>
  </si>
  <si>
    <t xml:space="preserve">Notebook acessório</t>
  </si>
  <si>
    <t xml:space="preserve">Tecnologia</t>
  </si>
  <si>
    <t xml:space="preserve">Cabo USB-C</t>
  </si>
  <si>
    <t xml:space="preserve">Internet fibra</t>
  </si>
  <si>
    <t xml:space="preserve">Serviços</t>
  </si>
  <si>
    <t xml:space="preserve">Vivo Fibra</t>
  </si>
  <si>
    <t xml:space="preserve">Feira livre</t>
  </si>
  <si>
    <t xml:space="preserve">Sábado</t>
  </si>
  <si>
    <t xml:space="preserve">Outros</t>
  </si>
  <si>
    <t xml:space="preserve">Gasolina</t>
  </si>
  <si>
    <t xml:space="preserve">Semana toda</t>
  </si>
  <si>
    <t xml:space="preserve">TOTAL →</t>
  </si>
  <si>
    <t xml:space="preserve">Conta de luz</t>
  </si>
  <si>
    <t xml:space="preserve">CPFL</t>
  </si>
  <si>
    <t xml:space="preserve">Farmácia</t>
  </si>
  <si>
    <t xml:space="preserve">Medicamentos</t>
  </si>
  <si>
    <t xml:space="preserve">% por Categoria:</t>
  </si>
  <si>
    <t xml:space="preserve">(abaixo)</t>
  </si>
  <si>
    <t xml:space="preserve">Livro Python</t>
  </si>
  <si>
    <t xml:space="preserve">Amazon</t>
  </si>
  <si>
    <t xml:space="preserve">Cinema</t>
  </si>
  <si>
    <t xml:space="preserve">Parque Shopping</t>
  </si>
  <si>
    <t xml:space="preserve">Camisa social</t>
  </si>
  <si>
    <t xml:space="preserve">Renner</t>
  </si>
  <si>
    <t xml:space="preserve">Teclado mecânico</t>
  </si>
  <si>
    <t xml:space="preserve">Kabum</t>
  </si>
  <si>
    <t xml:space="preserve">Spotify</t>
  </si>
  <si>
    <t xml:space="preserve">Música</t>
  </si>
  <si>
    <t xml:space="preserve">Condomínio</t>
  </si>
  <si>
    <t xml:space="preserve">Delivery iFood</t>
  </si>
  <si>
    <t xml:space="preserve">Jantar sex</t>
  </si>
  <si>
    <t xml:space="preserve">Manutenção carro</t>
  </si>
  <si>
    <t xml:space="preserve">Revisão 40k km</t>
  </si>
  <si>
    <t xml:space="preserve">Água/Esgoto</t>
  </si>
  <si>
    <t xml:space="preserve">SABESP</t>
  </si>
  <si>
    <t xml:space="preserve">Academia</t>
  </si>
  <si>
    <t xml:space="preserve">Bio Ritmo</t>
  </si>
  <si>
    <t xml:space="preserve">Workshop design</t>
  </si>
  <si>
    <t xml:space="preserve">Presencial SP</t>
  </si>
  <si>
    <t xml:space="preserve">Churrasco amigos</t>
  </si>
  <si>
    <t xml:space="preserve">Casa do João</t>
  </si>
  <si>
    <t xml:space="preserve">Calça jeans</t>
  </si>
  <si>
    <t xml:space="preserve">C&amp;A</t>
  </si>
  <si>
    <t xml:space="preserve">Mouse sem fio</t>
  </si>
  <si>
    <t xml:space="preserve">Logitech</t>
  </si>
  <si>
    <t xml:space="preserve">Plano celular</t>
  </si>
  <si>
    <t xml:space="preserve">Claro</t>
  </si>
  <si>
    <t xml:space="preserve">Padaria/café</t>
  </si>
  <si>
    <t xml:space="preserve">Manhã</t>
  </si>
  <si>
    <t xml:space="preserve">Estacionamento</t>
  </si>
  <si>
    <t xml:space="preserve">Centro</t>
  </si>
  <si>
    <t xml:space="preserve">Remédio prescrição</t>
  </si>
  <si>
    <t xml:space="preserve">Drogasil</t>
  </si>
  <si>
    <t xml:space="preserve">Inglês online</t>
  </si>
  <si>
    <t xml:space="preserve">Wizard</t>
  </si>
  <si>
    <t xml:space="preserve">Show música ao vivo</t>
  </si>
  <si>
    <t xml:space="preserve">Espaço das Américas</t>
  </si>
  <si>
    <t xml:space="preserve">Tênis corrida</t>
  </si>
  <si>
    <t xml:space="preserve">Nike</t>
  </si>
  <si>
    <t xml:space="preserve">Webcam 1080p</t>
  </si>
  <si>
    <t xml:space="preserve">Logitech C920</t>
  </si>
  <si>
    <t xml:space="preserve">Seguro carro</t>
  </si>
  <si>
    <t xml:space="preserve">Porto Seguro</t>
  </si>
  <si>
    <t xml:space="preserve">Açougue</t>
  </si>
  <si>
    <t xml:space="preserve">Compra semana</t>
  </si>
  <si>
    <t xml:space="preserve">Combustível moto</t>
  </si>
  <si>
    <t xml:space="preserve">Posto Shell</t>
  </si>
  <si>
    <t xml:space="preserve">Dentista</t>
  </si>
  <si>
    <t xml:space="preserve">Particular</t>
  </si>
  <si>
    <t xml:space="preserve">Assinatura Alura</t>
  </si>
  <si>
    <t xml:space="preserve">Plano anual/12</t>
  </si>
  <si>
    <t xml:space="preserve">Disney+</t>
  </si>
  <si>
    <t xml:space="preserve">Camiseta básica 3un</t>
  </si>
  <si>
    <t xml:space="preserve">Hering</t>
  </si>
  <si>
    <t xml:space="preserve">SSD externo 1TB</t>
  </si>
  <si>
    <t xml:space="preserve">Samsung</t>
  </si>
  <si>
    <t xml:space="preserve">Contador/MEI</t>
  </si>
  <si>
    <t xml:space="preserve">Honorários abril</t>
  </si>
  <si>
    <t xml:space="preserve">Restaurante almoço</t>
  </si>
  <si>
    <t xml:space="preserve">Self-service</t>
  </si>
  <si>
    <t xml:space="preserve">Ônibus intermunicipal</t>
  </si>
  <si>
    <t xml:space="preserve">Viagem final de sem</t>
  </si>
  <si>
    <t xml:space="preserve">Consulta médica</t>
  </si>
  <si>
    <t xml:space="preserve">Material escolar filho</t>
  </si>
  <si>
    <t xml:space="preserve">Papelaria</t>
  </si>
  <si>
    <t xml:space="preserve">Bar e petiscos</t>
  </si>
  <si>
    <t xml:space="preserve">Happy hour</t>
  </si>
  <si>
    <t xml:space="preserve">Mochila trabalho</t>
  </si>
  <si>
    <t xml:space="preserve">Samsonite</t>
  </si>
  <si>
    <t xml:space="preserve">TOTAL GERAL DOS LANÇAMENTOS →</t>
  </si>
  <si>
    <t xml:space="preserve">📅  ORÇAMENTO ANUAL — SOMA MENSAL AUTOMÁTICA</t>
  </si>
  <si>
    <t xml:space="preserve">Lance os valores mês a mês → totais por item e por mês calculados automaticamente</t>
  </si>
  <si>
    <t xml:space="preserve">Item / Descrição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</si>
  <si>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</si>
  <si>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</si>
  <si>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</si>
  <si>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</si>
  <si>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</si>
  <si>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</si>
  <si>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</si>
  <si>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</si>
  <si>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</si>
  <si>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</si>
  <si>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</si>
  <si>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</si>
  <si>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</t>
  </si>
  <si>
    <t xml:space="preserve">💰  RECEITAS</t>
  </si>
  <si>
    <t xml:space="preserve">Salário / Pró-labore</t>
  </si>
  <si>
    <t xml:space="preserve">Freelance / Extras</t>
  </si>
  <si>
    <t xml:space="preserve">Dividendos</t>
  </si>
  <si>
    <t xml:space="preserve">TOTAL RECEITAS</t>
  </si>
  <si>
    <t xml:space="preserve">💸  DESPESAS</t>
  </si>
  <si>
    <t xml:space="preserve">Moradia (aluguel/financ.)</t>
  </si>
  <si>
    <t xml:space="preserve">Serviços / Contas</t>
  </si>
  <si>
    <t xml:space="preserve">TOTAL DESPESAS</t>
  </si>
  <si>
    <t xml:space="preserve">💰  SALDO DO MÊS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</si>
</sst>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&quot;R$ &quot;#,##0.00"/>
    <numFmt numFmtId="167" formatCode="0.0%"/>
    <numFmt numFmtId="168" formatCode="#,##0"/>
  </numFmts>
  <fonts count="6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474F"/>
      <name val="Arial"/>
      <family val="0"/>
      <charset val="1"/>
    </font>
    <font>
      <b val="true"/>
      <sz val="11"/>
      <color rgb="FF0D3B6E"/>
      <name val="Arial"/>
      <family val="0"/>
      <charset val="1"/>
    </font>
    <font>
      <b val="true"/>
      <sz val="9"/>
      <color rgb="FF145A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45A3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D3B6E"/>
      <name val="Arial"/>
      <family val="0"/>
      <charset val="1"/>
    </font>
    <font>
      <sz val="11"/>
      <color rgb="FF0D3B6E"/>
      <name val="Arial"/>
      <family val="0"/>
      <charset val="1"/>
    </font>
    <font>
      <sz val="12"/>
      <color rgb="FF0D3B6E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"/>
      <color rgb="FF78909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D3B6E"/>
      <name val="Arial"/>
      <family val="0"/>
      <charset val="1"/>
    </font>
    <font>
      <i val="true"/>
      <sz val="9"/>
      <color rgb="FF78909C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9"/>
      <color rgb="FF2E86C1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9"/>
      <color rgb="FFD4AC0D"/>
      <name val="Arial"/>
      <family val="0"/>
      <charset val="1"/>
    </font>
    <font>
      <b val="true"/>
      <sz val="10"/>
      <color rgb="FFD4AC0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7D3C98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9"/>
      <color rgb="FFCA6F1E"/>
      <name val="Arial"/>
      <family val="0"/>
      <charset val="1"/>
    </font>
    <font>
      <b val="true"/>
      <sz val="10"/>
      <color rgb="FFCA6F1E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9"/>
      <color rgb="FF616A6B"/>
      <name val="Arial"/>
      <family val="0"/>
      <charset val="1"/>
    </font>
    <font>
      <b val="true"/>
      <sz val="10"/>
      <color rgb="FF616A6B"/>
      <name val="Arial"/>
      <family val="0"/>
      <charset val="1"/>
    </font>
    <font>
      <b val="true"/>
      <sz val="13"/>
      <color rgb="FF145A32"/>
      <name val="Arial"/>
      <family val="0"/>
      <charset val="1"/>
    </font>
    <font>
      <sz val="9"/>
      <color rgb="FF1E8449"/>
      <name val="Arial"/>
      <family val="0"/>
      <charset val="1"/>
    </font>
    <font>
      <sz val="10"/>
      <color rgb="FF1E8449"/>
      <name val="Arial"/>
      <family val="0"/>
      <charset val="1"/>
    </font>
    <font>
      <sz val="9"/>
      <color rgb="FF2E86C1"/>
      <name val="Arial"/>
      <family val="0"/>
      <charset val="1"/>
    </font>
    <font>
      <sz val="10"/>
      <color rgb="FF2E86C1"/>
      <name val="Arial"/>
      <family val="0"/>
      <charset val="1"/>
    </font>
    <font>
      <sz val="9"/>
      <color rgb="FFD4AC0D"/>
      <name val="Arial"/>
      <family val="0"/>
      <charset val="1"/>
    </font>
    <font>
      <sz val="10"/>
      <color rgb="FFD4AC0D"/>
      <name val="Arial"/>
      <family val="0"/>
      <charset val="1"/>
    </font>
    <font>
      <sz val="9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7D3C98"/>
      <name val="Arial"/>
      <family val="0"/>
      <charset val="1"/>
    </font>
    <font>
      <sz val="10"/>
      <color rgb="FF7D3C98"/>
      <name val="Arial"/>
      <family val="0"/>
      <charset val="1"/>
    </font>
    <font>
      <sz val="9"/>
      <color rgb="FFCA6F1E"/>
      <name val="Arial"/>
      <family val="0"/>
      <charset val="1"/>
    </font>
    <font>
      <sz val="10"/>
      <color rgb="FFCA6F1E"/>
      <name val="Arial"/>
      <family val="0"/>
      <charset val="1"/>
    </font>
    <font>
      <sz val="9"/>
      <color rgb="FF1A5276"/>
      <name val="Arial"/>
      <family val="0"/>
      <charset val="1"/>
    </font>
    <font>
      <sz val="10"/>
      <color rgb="FF1A5276"/>
      <name val="Arial"/>
      <family val="0"/>
      <charset val="1"/>
    </font>
    <font>
      <sz val="9"/>
      <color rgb="FF6C3483"/>
      <name val="Arial"/>
      <family val="0"/>
      <charset val="1"/>
    </font>
    <font>
      <sz val="10"/>
      <color rgb="FF6C3483"/>
      <name val="Arial"/>
      <family val="0"/>
      <charset val="1"/>
    </font>
    <font>
      <sz val="9"/>
      <color rgb="FF616A6B"/>
      <name val="Arial"/>
      <family val="0"/>
      <charset val="1"/>
    </font>
    <font>
      <sz val="10"/>
      <color rgb="FF616A6B"/>
      <name val="Arial"/>
      <family val="0"/>
      <charset val="1"/>
    </font>
    <font>
      <sz val="9"/>
      <color rgb="FFBDBDBD"/>
      <name val="Arial"/>
      <family val="0"/>
      <charset val="1"/>
    </font>
    <font>
      <b val="true"/>
      <sz val="14"/>
      <color rgb="FF145A32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b val="true"/>
      <sz val="11"/>
      <color rgb="FF145A32"/>
      <name val="Arial"/>
      <family val="0"/>
      <charset val="1"/>
    </font>
    <font>
      <b val="true"/>
      <sz val="10"/>
      <color rgb="FF7B241C"/>
      <name val="Arial"/>
      <family val="0"/>
      <charset val="1"/>
    </font>
    <font>
      <b val="true"/>
      <sz val="13"/>
      <color rgb="FF0D3B6E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D3B6E"/>
        <bgColor rgb="FF1A5276"/>
      </patternFill>
    </fill>
    <fill>
      <patternFill patternType="solid">
        <fgColor rgb="FF1A6BAA"/>
        <bgColor rgb="FF2E86C1"/>
      </patternFill>
    </fill>
    <fill>
      <patternFill patternType="solid">
        <fgColor rgb="FFF5F6FA"/>
        <bgColor rgb="FFF2F3F4"/>
      </patternFill>
    </fill>
    <fill>
      <patternFill patternType="solid">
        <fgColor rgb="FF145A32"/>
        <bgColor rgb="FF1A5276"/>
      </patternFill>
    </fill>
    <fill>
      <patternFill patternType="solid">
        <fgColor rgb="FFE8EAED"/>
        <bgColor rgb="FFF5EEF8"/>
      </patternFill>
    </fill>
    <fill>
      <patternFill patternType="solid">
        <fgColor rgb="FFFFF9C4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1E8449"/>
        <bgColor rgb="FF008080"/>
      </patternFill>
    </fill>
    <fill>
      <patternFill patternType="solid">
        <fgColor rgb="FFFDEDEC"/>
        <bgColor rgb="FFF5EEF8"/>
      </patternFill>
    </fill>
    <fill>
      <patternFill patternType="solid">
        <fgColor rgb="FFD6EAF8"/>
        <bgColor rgb="FFE8EAED"/>
      </patternFill>
    </fill>
    <fill>
      <patternFill patternType="solid">
        <fgColor rgb="FFC0392B"/>
        <bgColor rgb="FF7B241C"/>
      </patternFill>
    </fill>
    <fill>
      <patternFill patternType="solid">
        <fgColor rgb="FFFFFFFF"/>
        <bgColor rgb="FFF5F6FA"/>
      </patternFill>
    </fill>
    <fill>
      <patternFill patternType="solid">
        <fgColor rgb="FFFEF9E7"/>
        <bgColor rgb="FFF5F6FA"/>
      </patternFill>
    </fill>
    <fill>
      <patternFill patternType="solid">
        <fgColor rgb="FFE8DAEF"/>
        <bgColor rgb="FFE8EAED"/>
      </patternFill>
    </fill>
    <fill>
      <patternFill patternType="solid">
        <fgColor rgb="FFFDEBD0"/>
        <bgColor rgb="FFFDEDEC"/>
      </patternFill>
    </fill>
    <fill>
      <patternFill patternType="solid">
        <fgColor rgb="FFEAFAF1"/>
        <bgColor rgb="FFF2F3F4"/>
      </patternFill>
    </fill>
    <fill>
      <patternFill patternType="solid">
        <fgColor rgb="FFF5EEF8"/>
        <bgColor rgb="FFF2F3F4"/>
      </patternFill>
    </fill>
    <fill>
      <patternFill patternType="solid">
        <fgColor rgb="FFF2F3F4"/>
        <bgColor rgb="FFF5F6FA"/>
      </patternFill>
    </fill>
    <fill>
      <patternFill patternType="solid">
        <fgColor rgb="FFA9DFBF"/>
        <bgColor rgb="FFBDC3C7"/>
      </patternFill>
    </fill>
    <fill>
      <patternFill patternType="solid">
        <fgColor rgb="FFFADBD8"/>
        <bgColor rgb="FFE8DAE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F9A825"/>
      </left>
      <right style="medium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  <diagonal/>
    </border>
    <border diagonalUp="false" diagonalDown="false">
      <left style="medium">
        <color rgb="FF145A32"/>
      </left>
      <right style="medium">
        <color rgb="FF145A32"/>
      </right>
      <top style="medium">
        <color rgb="FF145A32"/>
      </top>
      <bottom style="medium">
        <color rgb="FF145A32"/>
      </bottom>
      <diagonal/>
    </border>
    <border diagonalUp="false" diagonalDown="false">
      <left style="thick">
        <color rgb="FF0D3B6E"/>
      </left>
      <right style="thick">
        <color rgb="FF0D3B6E"/>
      </right>
      <top style="thick">
        <color rgb="FF0D3B6E"/>
      </top>
      <bottom style="thick">
        <color rgb="FF0D3B6E"/>
      </bottom>
      <diagonal/>
    </border>
    <border diagonalUp="false" diagonalDown="false">
      <left style="medium">
        <color rgb="FF1E8449"/>
      </left>
      <right style="medium">
        <color rgb="FF1E8449"/>
      </right>
      <top style="thin">
        <color rgb="FF1E8449"/>
      </top>
      <bottom style="thin">
        <color rgb="FF1E8449"/>
      </bottom>
      <diagonal/>
    </border>
    <border diagonalUp="false" diagonalDown="false">
      <left style="medium">
        <color rgb="FF2E86C1"/>
      </left>
      <right style="medium">
        <color rgb="FF2E86C1"/>
      </right>
      <top style="thin">
        <color rgb="FF2E86C1"/>
      </top>
      <bottom style="thin">
        <color rgb="FF2E86C1"/>
      </bottom>
      <diagonal/>
    </border>
    <border diagonalUp="false" diagonalDown="false">
      <left style="medium">
        <color rgb="FFD4AC0D"/>
      </left>
      <right style="medium">
        <color rgb="FFD4AC0D"/>
      </right>
      <top style="thin">
        <color rgb="FFD4AC0D"/>
      </top>
      <bottom style="thin">
        <color rgb="FFD4AC0D"/>
      </bottom>
      <diagonal/>
    </border>
    <border diagonalUp="false" diagonalDown="false">
      <left style="medium">
        <color rgb="FFC0392B"/>
      </left>
      <right style="medium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medium">
        <color rgb="FF7D3C98"/>
      </left>
      <right style="medium">
        <color rgb="FF7D3C98"/>
      </right>
      <top style="thin">
        <color rgb="FF7D3C98"/>
      </top>
      <bottom style="thin">
        <color rgb="FF7D3C98"/>
      </bottom>
      <diagonal/>
    </border>
    <border diagonalUp="false" diagonalDown="false">
      <left style="medium">
        <color rgb="FFCA6F1E"/>
      </left>
      <right style="medium">
        <color rgb="FFCA6F1E"/>
      </right>
      <top style="thin">
        <color rgb="FFCA6F1E"/>
      </top>
      <bottom style="thin">
        <color rgb="FFCA6F1E"/>
      </bottom>
      <diagonal/>
    </border>
    <border diagonalUp="false" diagonalDown="false">
      <left style="medium">
        <color rgb="FF1A5276"/>
      </left>
      <right style="medium">
        <color rgb="FF1A5276"/>
      </right>
      <top style="thin">
        <color rgb="FF1A5276"/>
      </top>
      <bottom style="thin">
        <color rgb="FF1A5276"/>
      </bottom>
      <diagonal/>
    </border>
    <border diagonalUp="false" diagonalDown="false">
      <left style="medium">
        <color rgb="FF6C3483"/>
      </left>
      <right style="medium">
        <color rgb="FF6C3483"/>
      </right>
      <top style="thin">
        <color rgb="FF6C3483"/>
      </top>
      <bottom style="thin">
        <color rgb="FF6C3483"/>
      </bottom>
      <diagonal/>
    </border>
    <border diagonalUp="false" diagonalDown="false">
      <left style="medium">
        <color rgb="FF616A6B"/>
      </left>
      <right style="medium">
        <color rgb="FF616A6B"/>
      </right>
      <top style="thin">
        <color rgb="FF616A6B"/>
      </top>
      <bottom style="thin">
        <color rgb="FF616A6B"/>
      </bottom>
      <diagonal/>
    </border>
    <border diagonalUp="false" diagonalDown="false">
      <left style="thick">
        <color rgb="FF145A32"/>
      </left>
      <right style="thick">
        <color rgb="FF145A32"/>
      </right>
      <top style="thick">
        <color rgb="FF145A32"/>
      </top>
      <bottom style="thick">
        <color rgb="FF145A32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medium">
        <color rgb="FF145A32"/>
      </left>
      <right style="medium">
        <color rgb="FF145A32"/>
      </right>
      <top style="thin">
        <color rgb="FF145A32"/>
      </top>
      <bottom style="thin">
        <color rgb="FF145A32"/>
      </bottom>
      <diagonal/>
    </border>
    <border diagonalUp="false" diagonalDown="false">
      <left style="thick">
        <color rgb="FFC0392B"/>
      </left>
      <right style="thick">
        <color rgb="FFC0392B"/>
      </right>
      <top style="thick">
        <color rgb="FFC0392B"/>
      </top>
      <bottom style="thick">
        <color rgb="FFC0392B"/>
      </bottom>
      <diagonal/>
    </border>
    <border diagonalUp="false" diagonalDown="false">
      <left style="medium">
        <color rgb="FF0D3B6E"/>
      </left>
      <right style="medium">
        <color rgb="FF0D3B6E"/>
      </right>
      <top style="medium">
        <color rgb="FF0D3B6E"/>
      </top>
      <bottom style="medium">
        <color rgb="FF0D3B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1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3" fillId="1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5" fillId="1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7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1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1" fillId="19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4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0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2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7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3" fillId="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4" fillId="2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5" fillId="7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1" fillId="1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21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1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6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00FF00"/>
      <rgbColor rgb="FF0000FF"/>
      <rgbColor rgb="FFFEF9E7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DBDBD"/>
      <rgbColor rgb="FF78909C"/>
      <rgbColor rgb="FFF5EEF8"/>
      <rgbColor rgb="FF7D3C98"/>
      <rgbColor rgb="FFFFF9C4"/>
      <rgbColor rgb="FFD6EAF8"/>
      <rgbColor rgb="FF660066"/>
      <rgbColor rgb="FFF5F6FA"/>
      <rgbColor rgb="FF1A6BAA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A9DFBF"/>
      <rgbColor rgb="FFE8EAED"/>
      <rgbColor rgb="FFBDC3C7"/>
      <rgbColor rgb="FFFADBD8"/>
      <rgbColor rgb="FF2E86C1"/>
      <rgbColor rgb="FF33CCCC"/>
      <rgbColor rgb="FF99CC00"/>
      <rgbColor rgb="FFD4AC0D"/>
      <rgbColor rgb="FFF9A825"/>
      <rgbColor rgb="FFCA6F1E"/>
      <rgbColor rgb="FF616A6B"/>
      <rgbColor rgb="FFF2F3F4"/>
      <rgbColor rgb="FF0D3B6E"/>
      <rgbColor rgb="FF1E8449"/>
      <rgbColor rgb="FF003300"/>
      <rgbColor rgb="FF333300"/>
      <rgbColor rgb="FF7B241C"/>
      <rgbColor rgb="FF6C3483"/>
      <rgbColor rgb="FF1A5276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18"/>
    <col collapsed="false" customWidth="true" hidden="false" outlineLevel="0" max="7" min="7" style="0" width="5"/>
    <col collapsed="false" customWidth="true" hidden="false" outlineLevel="0" max="8" min="8" style="0" width="18"/>
    <col collapsed="false" customWidth="true" hidden="false" outlineLevel="0" max="9" min="9" style="0" width="1.51"/>
  </cols>
  <sheetData>
    <row r="1" customFormat="false" ht="7.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>
      <c r="D4" s="3"/>
      <c r="E4" s="3"/>
      <c r="F4" s="3"/>
      <c r="G4" s="3"/>
      <c r="H4" s="3"/>
    </row>
    <row r="5" customFormat="false" ht="25.5" hidden="false" customHeight="true" outlineLevel="0" collapsed="false">
      <c r="B5" s="4" t="s">
        <v>2</v>
      </c>
      <c r="C5" s="4"/>
      <c r="D5" s="5" t="s">
        <v>3</v>
      </c>
      <c r="E5" s="5"/>
      <c r="F5" s="6" t="s">
        <v>4</v>
      </c>
      <c r="G5" s="6"/>
      <c r="H5" s="6"/>
    </row>
    <row r="6" customFormat="false" ht="19.5" hidden="false" customHeight="true" outlineLevel="0" collapsed="false">
      <c r="B6" s="7" t="s">
        <v>5</v>
      </c>
      <c r="C6" s="8" t="n">
        <v>150</v>
      </c>
      <c r="D6" s="9" t="s">
        <v>6</v>
      </c>
      <c r="F6" s="10" t="s">
        <v>7</v>
      </c>
      <c r="G6" s="10" t="s">
        <v>8</v>
      </c>
      <c r="H6" s="10" t="s">
        <v>9</v>
      </c>
    </row>
    <row r="7" customFormat="false" ht="21.75" hidden="false" customHeight="true" outlineLevel="0" collapsed="false">
      <c r="B7" s="7" t="s">
        <v>10</v>
      </c>
      <c r="C7" s="8" t="n">
        <v>320</v>
      </c>
      <c r="D7" s="7" t="s">
        <v>11</v>
      </c>
      <c r="E7" s="11" t="n">
        <v>5000</v>
      </c>
      <c r="F7" s="8" t="n">
        <v>100</v>
      </c>
      <c r="G7" s="8" t="n">
        <v>200</v>
      </c>
      <c r="H7" s="8" t="n">
        <v>300</v>
      </c>
    </row>
    <row r="8" customFormat="false" ht="21.75" hidden="false" customHeight="true" outlineLevel="0" collapsed="false">
      <c r="B8" s="7" t="s">
        <v>12</v>
      </c>
      <c r="C8" s="8" t="n">
        <v>85</v>
      </c>
      <c r="D8" s="7" t="s">
        <v>13</v>
      </c>
      <c r="E8" s="11" t="n">
        <v>1200</v>
      </c>
      <c r="F8" s="8" t="n">
        <v>150</v>
      </c>
      <c r="G8" s="8" t="n">
        <v>250</v>
      </c>
      <c r="H8" s="8" t="n">
        <v>350</v>
      </c>
    </row>
    <row r="9" customFormat="false" ht="21.75" hidden="false" customHeight="true" outlineLevel="0" collapsed="false">
      <c r="B9" s="7" t="s">
        <v>14</v>
      </c>
      <c r="C9" s="8" t="n">
        <v>470</v>
      </c>
      <c r="D9" s="7" t="s">
        <v>15</v>
      </c>
      <c r="E9" s="11" t="n">
        <v>800</v>
      </c>
      <c r="F9" s="8" t="n">
        <v>80</v>
      </c>
      <c r="G9" s="8" t="n">
        <v>120</v>
      </c>
      <c r="H9" s="8" t="n">
        <v>180</v>
      </c>
    </row>
    <row r="10" customFormat="false" ht="21.75" hidden="false" customHeight="true" outlineLevel="0" collapsed="false">
      <c r="B10" s="7" t="s">
        <v>16</v>
      </c>
      <c r="C10" s="8" t="n">
        <v>210</v>
      </c>
      <c r="D10" s="7" t="s">
        <v>17</v>
      </c>
      <c r="E10" s="11" t="n">
        <v>350</v>
      </c>
      <c r="F10" s="8" t="n">
        <v>420</v>
      </c>
      <c r="G10" s="8" t="n">
        <v>310</v>
      </c>
      <c r="H10" s="8" t="n">
        <v>530</v>
      </c>
    </row>
    <row r="11" customFormat="false" ht="21.75" hidden="false" customHeight="true" outlineLevel="0" collapsed="false">
      <c r="B11" s="7" t="s">
        <v>18</v>
      </c>
      <c r="C11" s="8" t="n">
        <v>95</v>
      </c>
      <c r="D11" s="7" t="s">
        <v>19</v>
      </c>
      <c r="E11" s="11" t="n">
        <v>180</v>
      </c>
      <c r="F11" s="8" t="n">
        <v>75</v>
      </c>
      <c r="G11" s="8" t="n">
        <v>95</v>
      </c>
      <c r="H11" s="8" t="n">
        <v>115</v>
      </c>
    </row>
    <row r="12" customFormat="false" ht="21.75" hidden="false" customHeight="true" outlineLevel="0" collapsed="false">
      <c r="B12" s="7" t="s">
        <v>20</v>
      </c>
      <c r="C12" s="8" t="n">
        <v>380</v>
      </c>
      <c r="D12" s="12" t="s">
        <v>21</v>
      </c>
      <c r="E12" s="13" t="n">
        <f aca="false">SUM(E7:E11)</f>
        <v>7530</v>
      </c>
      <c r="F12" s="8" t="n">
        <v>200</v>
      </c>
      <c r="G12" s="8" t="n">
        <v>400</v>
      </c>
      <c r="H12" s="8" t="n">
        <v>600</v>
      </c>
    </row>
    <row r="13" customFormat="false" ht="21.75" hidden="false" customHeight="true" outlineLevel="0" collapsed="false">
      <c r="B13" s="7" t="s">
        <v>22</v>
      </c>
      <c r="C13" s="8" t="n">
        <v>125</v>
      </c>
      <c r="D13" s="3"/>
      <c r="E13" s="3"/>
      <c r="F13" s="8" t="n">
        <v>330</v>
      </c>
      <c r="G13" s="8" t="n">
        <v>170</v>
      </c>
      <c r="H13" s="8" t="n">
        <v>440</v>
      </c>
    </row>
    <row r="14" customFormat="false" ht="21.75" hidden="false" customHeight="true" outlineLevel="0" collapsed="false">
      <c r="B14" s="7" t="s">
        <v>23</v>
      </c>
      <c r="C14" s="8" t="n">
        <v>560</v>
      </c>
      <c r="D14" s="14" t="s">
        <v>24</v>
      </c>
      <c r="F14" s="8" t="n">
        <v>55</v>
      </c>
      <c r="G14" s="8" t="n">
        <v>85</v>
      </c>
      <c r="H14" s="8" t="n">
        <v>125</v>
      </c>
    </row>
    <row r="15" customFormat="false" ht="21.75" hidden="false" customHeight="true" outlineLevel="0" collapsed="false">
      <c r="B15" s="7" t="s">
        <v>25</v>
      </c>
      <c r="C15" s="8" t="n">
        <v>200</v>
      </c>
      <c r="D15" s="7" t="s">
        <v>26</v>
      </c>
      <c r="E15" s="15" t="n">
        <v>1400</v>
      </c>
      <c r="F15" s="8" t="n">
        <v>280</v>
      </c>
      <c r="G15" s="8" t="n">
        <v>390</v>
      </c>
      <c r="H15" s="8" t="n">
        <v>470</v>
      </c>
    </row>
    <row r="16" customFormat="false" ht="21.75" hidden="false" customHeight="true" outlineLevel="0" collapsed="false">
      <c r="B16" s="7" t="s">
        <v>27</v>
      </c>
      <c r="C16" s="8" t="n">
        <v>75</v>
      </c>
      <c r="D16" s="7" t="s">
        <v>28</v>
      </c>
      <c r="E16" s="15" t="n">
        <v>650</v>
      </c>
      <c r="F16" s="8" t="n">
        <v>190</v>
      </c>
      <c r="G16" s="8" t="n">
        <v>210</v>
      </c>
      <c r="H16" s="8" t="n">
        <v>320</v>
      </c>
    </row>
    <row r="17" customFormat="false" ht="25.5" hidden="false" customHeight="true" outlineLevel="0" collapsed="false">
      <c r="B17" s="7" t="s">
        <v>29</v>
      </c>
      <c r="C17" s="8" t="n">
        <v>430</v>
      </c>
      <c r="D17" s="7" t="s">
        <v>30</v>
      </c>
      <c r="E17" s="15" t="n">
        <v>320</v>
      </c>
      <c r="F17" s="16" t="n">
        <f aca="false">SUM(F7:F16)</f>
        <v>1880</v>
      </c>
      <c r="G17" s="16" t="n">
        <f aca="false">SUM(G7:G16)</f>
        <v>2230</v>
      </c>
      <c r="H17" s="16" t="n">
        <f aca="false">SUM(H7:H16)</f>
        <v>3430</v>
      </c>
    </row>
    <row r="18" customFormat="false" ht="27.75" hidden="false" customHeight="true" outlineLevel="0" collapsed="false">
      <c r="B18" s="7" t="s">
        <v>31</v>
      </c>
      <c r="C18" s="8" t="n">
        <v>310</v>
      </c>
      <c r="D18" s="7" t="s">
        <v>32</v>
      </c>
      <c r="E18" s="15" t="n">
        <v>380</v>
      </c>
      <c r="F18" s="17" t="s">
        <v>33</v>
      </c>
      <c r="G18" s="17"/>
      <c r="H18" s="18" t="n">
        <f aca="false">SUM(F17:H17)</f>
        <v>7540</v>
      </c>
    </row>
    <row r="19" customFormat="false" ht="19.5" hidden="false" customHeight="true" outlineLevel="0" collapsed="false">
      <c r="B19" s="7" t="s">
        <v>34</v>
      </c>
      <c r="C19" s="8" t="n">
        <v>180</v>
      </c>
      <c r="D19" s="7" t="s">
        <v>35</v>
      </c>
      <c r="E19" s="15" t="n">
        <v>200</v>
      </c>
      <c r="F19" s="19" t="s">
        <v>36</v>
      </c>
      <c r="G19" s="19"/>
      <c r="H19" s="20" t="n">
        <f aca="false">AVERAGE(F7:H16)</f>
        <v>251.333333333333</v>
      </c>
    </row>
    <row r="20" customFormat="false" ht="19.5" hidden="false" customHeight="true" outlineLevel="0" collapsed="false">
      <c r="B20" s="7" t="s">
        <v>37</v>
      </c>
      <c r="C20" s="8" t="n">
        <v>250</v>
      </c>
      <c r="D20" s="7" t="s">
        <v>38</v>
      </c>
      <c r="E20" s="15" t="n">
        <v>150</v>
      </c>
    </row>
    <row r="21" customFormat="false" ht="19.5" hidden="false" customHeight="true" outlineLevel="0" collapsed="false">
      <c r="D21" s="7" t="s">
        <v>39</v>
      </c>
      <c r="E21" s="15" t="n">
        <v>180</v>
      </c>
    </row>
    <row r="22" customFormat="false" ht="19.5" hidden="false" customHeight="true" outlineLevel="0" collapsed="false">
      <c r="B22" s="21" t="s">
        <v>40</v>
      </c>
      <c r="C22" s="22" t="n">
        <f aca="false">SUM(C6:C20)</f>
        <v>3840</v>
      </c>
      <c r="D22" s="7" t="s">
        <v>41</v>
      </c>
      <c r="E22" s="15" t="n">
        <v>120</v>
      </c>
    </row>
    <row r="23" customFormat="false" ht="21.75" hidden="false" customHeight="true" outlineLevel="0" collapsed="false">
      <c r="B23" s="7" t="s">
        <v>42</v>
      </c>
      <c r="C23" s="23" t="n">
        <f aca="false">AVERAGE(C6:C20)</f>
        <v>256</v>
      </c>
      <c r="D23" s="24" t="s">
        <v>43</v>
      </c>
      <c r="E23" s="25" t="n">
        <f aca="false">SUM(E15:E22)</f>
        <v>3400</v>
      </c>
    </row>
    <row r="24" customFormat="false" ht="7.5" hidden="false" customHeight="true" outlineLevel="0" collapsed="false">
      <c r="B24" s="7" t="s">
        <v>44</v>
      </c>
      <c r="C24" s="23" t="n">
        <f aca="false">MIN(C6:C20)</f>
        <v>75</v>
      </c>
    </row>
    <row r="25" customFormat="false" ht="31.5" hidden="false" customHeight="true" outlineLevel="0" collapsed="false">
      <c r="B25" s="7" t="s">
        <v>45</v>
      </c>
      <c r="C25" s="23" t="n">
        <f aca="false">MAX(C6:C20)</f>
        <v>560</v>
      </c>
      <c r="D25" s="26" t="s">
        <v>46</v>
      </c>
      <c r="E25" s="27" t="n">
        <f aca="false">E12-E23</f>
        <v>4130</v>
      </c>
    </row>
    <row r="27" customFormat="false" ht="7.5" hidden="false" customHeight="true" outlineLevel="0" collapsed="false"/>
    <row r="28" customFormat="false" ht="19.5" hidden="false" customHeight="true" outlineLevel="0" collapsed="false">
      <c r="B28" s="28" t="s">
        <v>47</v>
      </c>
      <c r="C28" s="28"/>
      <c r="E28" s="29" t="s">
        <v>48</v>
      </c>
      <c r="F28" s="29"/>
      <c r="H28" s="30" t="s">
        <v>49</v>
      </c>
      <c r="I28" s="30"/>
    </row>
  </sheetData>
  <mergeCells count="13">
    <mergeCell ref="B2:H2"/>
    <mergeCell ref="B3:H3"/>
    <mergeCell ref="D4:E4"/>
    <mergeCell ref="F4:H4"/>
    <mergeCell ref="B5:C5"/>
    <mergeCell ref="D5:E5"/>
    <mergeCell ref="F5:H5"/>
    <mergeCell ref="D13:E13"/>
    <mergeCell ref="F18:G18"/>
    <mergeCell ref="F19:G19"/>
    <mergeCell ref="B28:C28"/>
    <mergeCell ref="E28:F28"/>
    <mergeCell ref="H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.51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1" t="s">
        <v>50</v>
      </c>
      <c r="C2" s="31"/>
      <c r="D2" s="31"/>
      <c r="E2" s="31"/>
      <c r="F2" s="31"/>
      <c r="G2" s="31"/>
    </row>
    <row r="3" customFormat="false" ht="19.5" hidden="false" customHeight="true" outlineLevel="0" collapsed="false">
      <c r="B3" s="32" t="s">
        <v>51</v>
      </c>
      <c r="C3" s="32"/>
      <c r="D3" s="32"/>
      <c r="E3" s="32"/>
      <c r="F3" s="32"/>
      <c r="G3" s="32"/>
    </row>
    <row r="4" customFormat="false" ht="9.75" hidden="false" customHeight="true" outlineLevel="0" collapsed="false"/>
    <row r="5" customFormat="false" ht="25.5" hidden="false" customHeight="true" outlineLevel="0" collapsed="false">
      <c r="B5" s="33" t="s">
        <v>52</v>
      </c>
      <c r="C5" s="33" t="s">
        <v>53</v>
      </c>
      <c r="D5" s="33" t="s">
        <v>54</v>
      </c>
      <c r="E5" s="33" t="s">
        <v>55</v>
      </c>
      <c r="F5" s="33" t="s">
        <v>56</v>
      </c>
      <c r="G5" s="34" t="s">
        <v>57</v>
      </c>
    </row>
    <row r="6" customFormat="false" ht="21.75" hidden="false" customHeight="true" outlineLevel="0" collapsed="false">
      <c r="B6" s="35" t="n">
        <v>1</v>
      </c>
      <c r="C6" s="36" t="s">
        <v>58</v>
      </c>
      <c r="D6" s="37" t="s">
        <v>28</v>
      </c>
      <c r="E6" s="38" t="n">
        <v>320.5</v>
      </c>
      <c r="F6" s="39" t="s">
        <v>59</v>
      </c>
      <c r="G6" s="40" t="s">
        <v>28</v>
      </c>
      <c r="H6" s="41" t="n">
        <f aca="false">SUMIF($D$6:$D$105,G6,$E$6:$E$105)</f>
        <v>622.3</v>
      </c>
    </row>
    <row r="7" customFormat="false" ht="21.75" hidden="false" customHeight="true" outlineLevel="0" collapsed="false">
      <c r="B7" s="35" t="n">
        <v>2</v>
      </c>
      <c r="C7" s="36" t="s">
        <v>60</v>
      </c>
      <c r="D7" s="37" t="s">
        <v>30</v>
      </c>
      <c r="E7" s="38" t="n">
        <v>45.8</v>
      </c>
      <c r="F7" s="39" t="s">
        <v>61</v>
      </c>
      <c r="G7" s="42" t="s">
        <v>30</v>
      </c>
      <c r="H7" s="43" t="n">
        <f aca="false">SUMIF($D$6:$D$105,G7,$E$6:$E$105)</f>
        <v>855.8</v>
      </c>
    </row>
    <row r="8" customFormat="false" ht="21.75" hidden="false" customHeight="true" outlineLevel="0" collapsed="false">
      <c r="B8" s="35" t="n">
        <v>3</v>
      </c>
      <c r="C8" s="36" t="s">
        <v>62</v>
      </c>
      <c r="D8" s="37" t="s">
        <v>63</v>
      </c>
      <c r="E8" s="38" t="n">
        <v>1400</v>
      </c>
      <c r="F8" s="39" t="s">
        <v>64</v>
      </c>
      <c r="G8" s="44" t="s">
        <v>63</v>
      </c>
      <c r="H8" s="45" t="n">
        <f aca="false">SUMIF($D$6:$D$105,G8,$E$6:$E$105)</f>
        <v>1987.7</v>
      </c>
    </row>
    <row r="9" customFormat="false" ht="21.75" hidden="false" customHeight="true" outlineLevel="0" collapsed="false">
      <c r="B9" s="35" t="n">
        <v>4</v>
      </c>
      <c r="C9" s="36" t="s">
        <v>65</v>
      </c>
      <c r="D9" s="37" t="s">
        <v>66</v>
      </c>
      <c r="E9" s="38" t="n">
        <v>380</v>
      </c>
      <c r="F9" s="39" t="s">
        <v>67</v>
      </c>
      <c r="G9" s="46" t="s">
        <v>66</v>
      </c>
      <c r="H9" s="47" t="n">
        <f aca="false">SUMIF($D$6:$D$105,G9,$E$6:$E$105)</f>
        <v>1141.3</v>
      </c>
    </row>
    <row r="10" customFormat="false" ht="21.75" hidden="false" customHeight="true" outlineLevel="0" collapsed="false">
      <c r="B10" s="35" t="n">
        <v>5</v>
      </c>
      <c r="C10" s="36" t="s">
        <v>68</v>
      </c>
      <c r="D10" s="37" t="s">
        <v>69</v>
      </c>
      <c r="E10" s="38" t="n">
        <v>199</v>
      </c>
      <c r="F10" s="39" t="s">
        <v>70</v>
      </c>
      <c r="G10" s="48" t="s">
        <v>69</v>
      </c>
      <c r="H10" s="49" t="n">
        <f aca="false">SUMIF($D$6:$D$105,G10,$E$6:$E$105)</f>
        <v>1160</v>
      </c>
    </row>
    <row r="11" customFormat="false" ht="21.75" hidden="false" customHeight="true" outlineLevel="0" collapsed="false">
      <c r="B11" s="35" t="n">
        <v>6</v>
      </c>
      <c r="C11" s="36" t="s">
        <v>71</v>
      </c>
      <c r="D11" s="37" t="s">
        <v>72</v>
      </c>
      <c r="E11" s="38" t="n">
        <v>39.9</v>
      </c>
      <c r="F11" s="39" t="s">
        <v>73</v>
      </c>
      <c r="G11" s="50" t="s">
        <v>72</v>
      </c>
      <c r="H11" s="51" t="n">
        <f aca="false">SUMIF($D$6:$D$105,G11,$E$6:$E$105)</f>
        <v>556.7</v>
      </c>
    </row>
    <row r="12" customFormat="false" ht="21.75" hidden="false" customHeight="true" outlineLevel="0" collapsed="false">
      <c r="B12" s="35" t="n">
        <v>7</v>
      </c>
      <c r="C12" s="36" t="s">
        <v>74</v>
      </c>
      <c r="D12" s="37" t="s">
        <v>75</v>
      </c>
      <c r="E12" s="38" t="n">
        <v>180</v>
      </c>
      <c r="F12" s="39" t="s">
        <v>76</v>
      </c>
      <c r="G12" s="52" t="s">
        <v>75</v>
      </c>
      <c r="H12" s="53" t="n">
        <f aca="false">SUMIF($D$6:$D$105,G12,$E$6:$E$105)</f>
        <v>924</v>
      </c>
    </row>
    <row r="13" customFormat="false" ht="21.75" hidden="false" customHeight="true" outlineLevel="0" collapsed="false">
      <c r="B13" s="35" t="n">
        <v>8</v>
      </c>
      <c r="C13" s="36" t="s">
        <v>77</v>
      </c>
      <c r="D13" s="37" t="s">
        <v>78</v>
      </c>
      <c r="E13" s="38" t="n">
        <v>129</v>
      </c>
      <c r="F13" s="39" t="s">
        <v>79</v>
      </c>
      <c r="G13" s="54" t="s">
        <v>78</v>
      </c>
      <c r="H13" s="55" t="n">
        <f aca="false">SUMIF($D$6:$D$105,G13,$E$6:$E$105)</f>
        <v>977</v>
      </c>
    </row>
    <row r="14" customFormat="false" ht="21.75" hidden="false" customHeight="true" outlineLevel="0" collapsed="false">
      <c r="B14" s="35" t="n">
        <v>9</v>
      </c>
      <c r="C14" s="36" t="s">
        <v>80</v>
      </c>
      <c r="D14" s="37" t="s">
        <v>81</v>
      </c>
      <c r="E14" s="38" t="n">
        <v>119.9</v>
      </c>
      <c r="F14" s="39" t="s">
        <v>82</v>
      </c>
      <c r="G14" s="56" t="s">
        <v>81</v>
      </c>
      <c r="H14" s="57" t="n">
        <f aca="false">SUMIF($D$6:$D$105,G14,$E$6:$E$105)</f>
        <v>579.8</v>
      </c>
    </row>
    <row r="15" customFormat="false" ht="21.75" hidden="false" customHeight="true" outlineLevel="0" collapsed="false">
      <c r="B15" s="35" t="n">
        <v>10</v>
      </c>
      <c r="C15" s="36" t="s">
        <v>83</v>
      </c>
      <c r="D15" s="37" t="s">
        <v>28</v>
      </c>
      <c r="E15" s="38" t="n">
        <v>95.4</v>
      </c>
      <c r="F15" s="39" t="s">
        <v>84</v>
      </c>
      <c r="G15" s="58" t="s">
        <v>85</v>
      </c>
      <c r="H15" s="59" t="n">
        <f aca="false">SUMIF($D$6:$D$105,G15,$E$6:$E$105)</f>
        <v>0</v>
      </c>
    </row>
    <row r="16" customFormat="false" ht="25.5" hidden="false" customHeight="true" outlineLevel="0" collapsed="false">
      <c r="B16" s="35" t="n">
        <v>11</v>
      </c>
      <c r="C16" s="36" t="s">
        <v>86</v>
      </c>
      <c r="D16" s="37" t="s">
        <v>30</v>
      </c>
      <c r="E16" s="38" t="n">
        <v>210</v>
      </c>
      <c r="F16" s="39" t="s">
        <v>87</v>
      </c>
      <c r="G16" s="60" t="s">
        <v>88</v>
      </c>
      <c r="H16" s="61" t="n">
        <f aca="false">SUM(H6:H15)</f>
        <v>8804.6</v>
      </c>
    </row>
    <row r="17" customFormat="false" ht="9.75" hidden="false" customHeight="true" outlineLevel="0" collapsed="false">
      <c r="B17" s="35" t="n">
        <v>12</v>
      </c>
      <c r="C17" s="36" t="s">
        <v>89</v>
      </c>
      <c r="D17" s="37" t="s">
        <v>63</v>
      </c>
      <c r="E17" s="38" t="n">
        <v>148.7</v>
      </c>
      <c r="F17" s="39" t="s">
        <v>90</v>
      </c>
    </row>
    <row r="18" customFormat="false" ht="15.75" hidden="false" customHeight="true" outlineLevel="0" collapsed="false">
      <c r="B18" s="35" t="n">
        <v>13</v>
      </c>
      <c r="C18" s="36" t="s">
        <v>91</v>
      </c>
      <c r="D18" s="37" t="s">
        <v>66</v>
      </c>
      <c r="E18" s="38" t="n">
        <v>67.3</v>
      </c>
      <c r="F18" s="39" t="s">
        <v>92</v>
      </c>
      <c r="G18" s="62" t="s">
        <v>93</v>
      </c>
      <c r="H18" s="63" t="s">
        <v>94</v>
      </c>
    </row>
    <row r="19" customFormat="false" ht="18" hidden="false" customHeight="true" outlineLevel="0" collapsed="false">
      <c r="B19" s="35" t="n">
        <v>14</v>
      </c>
      <c r="C19" s="36" t="s">
        <v>95</v>
      </c>
      <c r="D19" s="37" t="s">
        <v>69</v>
      </c>
      <c r="E19" s="38" t="n">
        <v>79</v>
      </c>
      <c r="F19" s="39" t="s">
        <v>96</v>
      </c>
      <c r="G19" s="64" t="s">
        <v>28</v>
      </c>
      <c r="H19" s="65" t="n">
        <f aca="false">IFERROR(H6/H16,0)</f>
        <v>0.0706789632692002</v>
      </c>
    </row>
    <row r="20" customFormat="false" ht="18" hidden="false" customHeight="true" outlineLevel="0" collapsed="false">
      <c r="B20" s="35" t="n">
        <v>15</v>
      </c>
      <c r="C20" s="36" t="s">
        <v>97</v>
      </c>
      <c r="D20" s="37" t="s">
        <v>72</v>
      </c>
      <c r="E20" s="38" t="n">
        <v>52</v>
      </c>
      <c r="F20" s="39" t="s">
        <v>98</v>
      </c>
      <c r="G20" s="66" t="s">
        <v>30</v>
      </c>
      <c r="H20" s="67" t="n">
        <f aca="false">IFERROR(H7/H16,0)</f>
        <v>0.0971991913318038</v>
      </c>
    </row>
    <row r="21" customFormat="false" ht="18" hidden="false" customHeight="true" outlineLevel="0" collapsed="false">
      <c r="B21" s="35" t="n">
        <v>16</v>
      </c>
      <c r="C21" s="36" t="s">
        <v>99</v>
      </c>
      <c r="D21" s="37" t="s">
        <v>75</v>
      </c>
      <c r="E21" s="38" t="n">
        <v>120</v>
      </c>
      <c r="F21" s="39" t="s">
        <v>100</v>
      </c>
      <c r="G21" s="68" t="s">
        <v>63</v>
      </c>
      <c r="H21" s="69" t="n">
        <f aca="false">IFERROR(H8/H16,0)</f>
        <v>0.225756990663971</v>
      </c>
    </row>
    <row r="22" customFormat="false" ht="18" hidden="false" customHeight="true" outlineLevel="0" collapsed="false">
      <c r="B22" s="35" t="n">
        <v>17</v>
      </c>
      <c r="C22" s="36" t="s">
        <v>101</v>
      </c>
      <c r="D22" s="37" t="s">
        <v>78</v>
      </c>
      <c r="E22" s="38" t="n">
        <v>280</v>
      </c>
      <c r="F22" s="39" t="s">
        <v>102</v>
      </c>
      <c r="G22" s="70" t="s">
        <v>66</v>
      </c>
      <c r="H22" s="71" t="n">
        <f aca="false">IFERROR(H9/H16,0)</f>
        <v>0.129625423074302</v>
      </c>
    </row>
    <row r="23" customFormat="false" ht="18" hidden="false" customHeight="true" outlineLevel="0" collapsed="false">
      <c r="B23" s="35" t="n">
        <v>18</v>
      </c>
      <c r="C23" s="36" t="s">
        <v>103</v>
      </c>
      <c r="D23" s="37" t="s">
        <v>72</v>
      </c>
      <c r="E23" s="38" t="n">
        <v>19.9</v>
      </c>
      <c r="F23" s="39" t="s">
        <v>104</v>
      </c>
      <c r="G23" s="72" t="s">
        <v>69</v>
      </c>
      <c r="H23" s="73" t="n">
        <f aca="false">IFERROR(H10/H16,0)</f>
        <v>0.131749312859187</v>
      </c>
    </row>
    <row r="24" customFormat="false" ht="18" hidden="false" customHeight="true" outlineLevel="0" collapsed="false">
      <c r="B24" s="35" t="n">
        <v>19</v>
      </c>
      <c r="C24" s="36" t="s">
        <v>105</v>
      </c>
      <c r="D24" s="37" t="s">
        <v>63</v>
      </c>
      <c r="E24" s="38" t="n">
        <v>350</v>
      </c>
      <c r="F24" s="39" t="s">
        <v>64</v>
      </c>
      <c r="G24" s="74" t="s">
        <v>72</v>
      </c>
      <c r="H24" s="75" t="n">
        <f aca="false">IFERROR(H11/H16,0)</f>
        <v>0.0632283124730255</v>
      </c>
    </row>
    <row r="25" customFormat="false" ht="18" hidden="false" customHeight="true" outlineLevel="0" collapsed="false">
      <c r="B25" s="35" t="n">
        <v>20</v>
      </c>
      <c r="C25" s="36" t="s">
        <v>106</v>
      </c>
      <c r="D25" s="37" t="s">
        <v>28</v>
      </c>
      <c r="E25" s="38" t="n">
        <v>58.9</v>
      </c>
      <c r="F25" s="39" t="s">
        <v>107</v>
      </c>
      <c r="G25" s="76" t="s">
        <v>75</v>
      </c>
      <c r="H25" s="77" t="n">
        <f aca="false">IFERROR(H12/H16,0)</f>
        <v>0.104945142311973</v>
      </c>
    </row>
    <row r="26" customFormat="false" ht="18" hidden="false" customHeight="true" outlineLevel="0" collapsed="false">
      <c r="B26" s="35" t="n">
        <v>21</v>
      </c>
      <c r="C26" s="36" t="s">
        <v>108</v>
      </c>
      <c r="D26" s="37" t="s">
        <v>30</v>
      </c>
      <c r="E26" s="38" t="n">
        <v>430</v>
      </c>
      <c r="F26" s="39" t="s">
        <v>109</v>
      </c>
      <c r="G26" s="78" t="s">
        <v>78</v>
      </c>
      <c r="H26" s="79" t="n">
        <f aca="false">IFERROR(H13/H16,0)</f>
        <v>0.110964722985712</v>
      </c>
    </row>
    <row r="27" customFormat="false" ht="18" hidden="false" customHeight="true" outlineLevel="0" collapsed="false">
      <c r="B27" s="35" t="n">
        <v>22</v>
      </c>
      <c r="C27" s="36" t="s">
        <v>110</v>
      </c>
      <c r="D27" s="37" t="s">
        <v>63</v>
      </c>
      <c r="E27" s="38" t="n">
        <v>89</v>
      </c>
      <c r="F27" s="39" t="s">
        <v>111</v>
      </c>
      <c r="G27" s="80" t="s">
        <v>81</v>
      </c>
      <c r="H27" s="81" t="n">
        <f aca="false">IFERROR(H14/H16,0)</f>
        <v>0.0658519410308248</v>
      </c>
    </row>
    <row r="28" customFormat="false" ht="18" hidden="false" customHeight="true" outlineLevel="0" collapsed="false">
      <c r="B28" s="35" t="n">
        <v>23</v>
      </c>
      <c r="C28" s="36" t="s">
        <v>112</v>
      </c>
      <c r="D28" s="37" t="s">
        <v>66</v>
      </c>
      <c r="E28" s="38" t="n">
        <v>99</v>
      </c>
      <c r="F28" s="39" t="s">
        <v>113</v>
      </c>
      <c r="G28" s="82" t="s">
        <v>85</v>
      </c>
      <c r="H28" s="83" t="n">
        <f aca="false">IFERROR(H15/H16,0)</f>
        <v>0</v>
      </c>
    </row>
    <row r="29" customFormat="false" ht="15.75" hidden="false" customHeight="true" outlineLevel="0" collapsed="false">
      <c r="B29" s="35" t="n">
        <v>24</v>
      </c>
      <c r="C29" s="36" t="s">
        <v>114</v>
      </c>
      <c r="D29" s="37" t="s">
        <v>69</v>
      </c>
      <c r="E29" s="38" t="n">
        <v>350</v>
      </c>
      <c r="F29" s="39" t="s">
        <v>115</v>
      </c>
    </row>
    <row r="30" customFormat="false" ht="15.75" hidden="false" customHeight="true" outlineLevel="0" collapsed="false">
      <c r="B30" s="35" t="n">
        <v>25</v>
      </c>
      <c r="C30" s="36" t="s">
        <v>116</v>
      </c>
      <c r="D30" s="37" t="s">
        <v>72</v>
      </c>
      <c r="E30" s="38" t="n">
        <v>185</v>
      </c>
      <c r="F30" s="39" t="s">
        <v>117</v>
      </c>
    </row>
    <row r="31" customFormat="false" ht="15.75" hidden="false" customHeight="true" outlineLevel="0" collapsed="false">
      <c r="B31" s="35" t="n">
        <v>26</v>
      </c>
      <c r="C31" s="36" t="s">
        <v>118</v>
      </c>
      <c r="D31" s="37" t="s">
        <v>75</v>
      </c>
      <c r="E31" s="38" t="n">
        <v>89</v>
      </c>
      <c r="F31" s="39" t="s">
        <v>119</v>
      </c>
    </row>
    <row r="32" customFormat="false" ht="15.75" hidden="false" customHeight="true" outlineLevel="0" collapsed="false">
      <c r="B32" s="35" t="n">
        <v>27</v>
      </c>
      <c r="C32" s="36" t="s">
        <v>120</v>
      </c>
      <c r="D32" s="37" t="s">
        <v>78</v>
      </c>
      <c r="E32" s="38" t="n">
        <v>89</v>
      </c>
      <c r="F32" s="39" t="s">
        <v>121</v>
      </c>
    </row>
    <row r="33" customFormat="false" ht="15.75" hidden="false" customHeight="true" outlineLevel="0" collapsed="false">
      <c r="B33" s="35" t="n">
        <v>28</v>
      </c>
      <c r="C33" s="36" t="s">
        <v>122</v>
      </c>
      <c r="D33" s="37" t="s">
        <v>81</v>
      </c>
      <c r="E33" s="38" t="n">
        <v>79.9</v>
      </c>
      <c r="F33" s="39" t="s">
        <v>123</v>
      </c>
    </row>
    <row r="34" customFormat="false" ht="15.75" hidden="false" customHeight="true" outlineLevel="0" collapsed="false">
      <c r="B34" s="35" t="n">
        <v>29</v>
      </c>
      <c r="C34" s="36" t="s">
        <v>124</v>
      </c>
      <c r="D34" s="37" t="s">
        <v>28</v>
      </c>
      <c r="E34" s="38" t="n">
        <v>22.5</v>
      </c>
      <c r="F34" s="39" t="s">
        <v>125</v>
      </c>
    </row>
    <row r="35" customFormat="false" ht="15.75" hidden="false" customHeight="true" outlineLevel="0" collapsed="false">
      <c r="B35" s="35" t="n">
        <v>30</v>
      </c>
      <c r="C35" s="36" t="s">
        <v>126</v>
      </c>
      <c r="D35" s="37" t="s">
        <v>30</v>
      </c>
      <c r="E35" s="38" t="n">
        <v>35</v>
      </c>
      <c r="F35" s="39" t="s">
        <v>127</v>
      </c>
    </row>
    <row r="36" customFormat="false" ht="15.75" hidden="false" customHeight="true" outlineLevel="0" collapsed="false">
      <c r="B36" s="35" t="n">
        <v>31</v>
      </c>
      <c r="C36" s="36" t="s">
        <v>128</v>
      </c>
      <c r="D36" s="37" t="s">
        <v>66</v>
      </c>
      <c r="E36" s="38" t="n">
        <v>145</v>
      </c>
      <c r="F36" s="39" t="s">
        <v>129</v>
      </c>
    </row>
    <row r="37" customFormat="false" ht="15.75" hidden="false" customHeight="true" outlineLevel="0" collapsed="false">
      <c r="B37" s="35" t="n">
        <v>32</v>
      </c>
      <c r="C37" s="36" t="s">
        <v>130</v>
      </c>
      <c r="D37" s="37" t="s">
        <v>69</v>
      </c>
      <c r="E37" s="38" t="n">
        <v>189</v>
      </c>
      <c r="F37" s="39" t="s">
        <v>131</v>
      </c>
    </row>
    <row r="38" customFormat="false" ht="15.75" hidden="false" customHeight="true" outlineLevel="0" collapsed="false">
      <c r="B38" s="35" t="n">
        <v>33</v>
      </c>
      <c r="C38" s="36" t="s">
        <v>132</v>
      </c>
      <c r="D38" s="37" t="s">
        <v>72</v>
      </c>
      <c r="E38" s="38" t="n">
        <v>120</v>
      </c>
      <c r="F38" s="39" t="s">
        <v>133</v>
      </c>
    </row>
    <row r="39" customFormat="false" ht="15.75" hidden="false" customHeight="true" outlineLevel="0" collapsed="false">
      <c r="B39" s="35" t="n">
        <v>34</v>
      </c>
      <c r="C39" s="36" t="s">
        <v>134</v>
      </c>
      <c r="D39" s="37" t="s">
        <v>75</v>
      </c>
      <c r="E39" s="38" t="n">
        <v>320</v>
      </c>
      <c r="F39" s="39" t="s">
        <v>135</v>
      </c>
    </row>
    <row r="40" customFormat="false" ht="15.75" hidden="false" customHeight="true" outlineLevel="0" collapsed="false">
      <c r="B40" s="35" t="n">
        <v>35</v>
      </c>
      <c r="C40" s="36" t="s">
        <v>136</v>
      </c>
      <c r="D40" s="37" t="s">
        <v>78</v>
      </c>
      <c r="E40" s="38" t="n">
        <v>159</v>
      </c>
      <c r="F40" s="39" t="s">
        <v>137</v>
      </c>
    </row>
    <row r="41" customFormat="false" ht="15.75" hidden="false" customHeight="true" outlineLevel="0" collapsed="false">
      <c r="B41" s="35" t="n">
        <v>36</v>
      </c>
      <c r="C41" s="36" t="s">
        <v>138</v>
      </c>
      <c r="D41" s="37" t="s">
        <v>81</v>
      </c>
      <c r="E41" s="38" t="n">
        <v>280</v>
      </c>
      <c r="F41" s="39" t="s">
        <v>139</v>
      </c>
    </row>
    <row r="42" customFormat="false" ht="15.75" hidden="false" customHeight="true" outlineLevel="0" collapsed="false">
      <c r="B42" s="35" t="n">
        <v>37</v>
      </c>
      <c r="C42" s="36" t="s">
        <v>140</v>
      </c>
      <c r="D42" s="37" t="s">
        <v>28</v>
      </c>
      <c r="E42" s="38" t="n">
        <v>87</v>
      </c>
      <c r="F42" s="39" t="s">
        <v>141</v>
      </c>
    </row>
    <row r="43" customFormat="false" ht="15.75" hidden="false" customHeight="true" outlineLevel="0" collapsed="false">
      <c r="B43" s="35" t="n">
        <v>38</v>
      </c>
      <c r="C43" s="36" t="s">
        <v>142</v>
      </c>
      <c r="D43" s="37" t="s">
        <v>30</v>
      </c>
      <c r="E43" s="38" t="n">
        <v>80</v>
      </c>
      <c r="F43" s="39" t="s">
        <v>143</v>
      </c>
    </row>
    <row r="44" customFormat="false" ht="15.75" hidden="false" customHeight="true" outlineLevel="0" collapsed="false">
      <c r="B44" s="35" t="n">
        <v>39</v>
      </c>
      <c r="C44" s="36" t="s">
        <v>144</v>
      </c>
      <c r="D44" s="37" t="s">
        <v>66</v>
      </c>
      <c r="E44" s="38" t="n">
        <v>250</v>
      </c>
      <c r="F44" s="39" t="s">
        <v>145</v>
      </c>
    </row>
    <row r="45" customFormat="false" ht="15.75" hidden="false" customHeight="true" outlineLevel="0" collapsed="false">
      <c r="B45" s="35" t="n">
        <v>40</v>
      </c>
      <c r="C45" s="36" t="s">
        <v>146</v>
      </c>
      <c r="D45" s="37" t="s">
        <v>69</v>
      </c>
      <c r="E45" s="38" t="n">
        <v>133</v>
      </c>
      <c r="F45" s="39" t="s">
        <v>147</v>
      </c>
    </row>
    <row r="46" customFormat="false" ht="15.75" hidden="false" customHeight="true" outlineLevel="0" collapsed="false">
      <c r="B46" s="35" t="n">
        <v>41</v>
      </c>
      <c r="C46" s="36" t="s">
        <v>148</v>
      </c>
      <c r="D46" s="37" t="s">
        <v>72</v>
      </c>
      <c r="E46" s="38" t="n">
        <v>43.9</v>
      </c>
      <c r="F46" s="39" t="s">
        <v>73</v>
      </c>
    </row>
    <row r="47" customFormat="false" ht="15.75" hidden="false" customHeight="true" outlineLevel="0" collapsed="false">
      <c r="B47" s="35" t="n">
        <v>42</v>
      </c>
      <c r="C47" s="36" t="s">
        <v>149</v>
      </c>
      <c r="D47" s="37" t="s">
        <v>75</v>
      </c>
      <c r="E47" s="38" t="n">
        <v>75</v>
      </c>
      <c r="F47" s="39" t="s">
        <v>150</v>
      </c>
    </row>
    <row r="48" customFormat="false" ht="15.75" hidden="false" customHeight="true" outlineLevel="0" collapsed="false">
      <c r="B48" s="35" t="n">
        <v>43</v>
      </c>
      <c r="C48" s="36" t="s">
        <v>151</v>
      </c>
      <c r="D48" s="37" t="s">
        <v>78</v>
      </c>
      <c r="E48" s="38" t="n">
        <v>320</v>
      </c>
      <c r="F48" s="39" t="s">
        <v>152</v>
      </c>
    </row>
    <row r="49" customFormat="false" ht="15.75" hidden="false" customHeight="true" outlineLevel="0" collapsed="false">
      <c r="B49" s="35" t="n">
        <v>44</v>
      </c>
      <c r="C49" s="36" t="s">
        <v>153</v>
      </c>
      <c r="D49" s="37" t="s">
        <v>81</v>
      </c>
      <c r="E49" s="38" t="n">
        <v>100</v>
      </c>
      <c r="F49" s="39" t="s">
        <v>154</v>
      </c>
    </row>
    <row r="50" customFormat="false" ht="15.75" hidden="false" customHeight="true" outlineLevel="0" collapsed="false">
      <c r="B50" s="35" t="n">
        <v>45</v>
      </c>
      <c r="C50" s="36" t="s">
        <v>155</v>
      </c>
      <c r="D50" s="37" t="s">
        <v>28</v>
      </c>
      <c r="E50" s="38" t="n">
        <v>38</v>
      </c>
      <c r="F50" s="39" t="s">
        <v>156</v>
      </c>
    </row>
    <row r="51" customFormat="false" ht="15.75" hidden="false" customHeight="true" outlineLevel="0" collapsed="false">
      <c r="B51" s="35" t="n">
        <v>46</v>
      </c>
      <c r="C51" s="36" t="s">
        <v>157</v>
      </c>
      <c r="D51" s="37" t="s">
        <v>30</v>
      </c>
      <c r="E51" s="38" t="n">
        <v>55</v>
      </c>
      <c r="F51" s="39" t="s">
        <v>158</v>
      </c>
    </row>
    <row r="52" customFormat="false" ht="15.75" hidden="false" customHeight="true" outlineLevel="0" collapsed="false">
      <c r="B52" s="35" t="n">
        <v>47</v>
      </c>
      <c r="C52" s="36" t="s">
        <v>159</v>
      </c>
      <c r="D52" s="37" t="s">
        <v>66</v>
      </c>
      <c r="E52" s="38" t="n">
        <v>200</v>
      </c>
      <c r="F52" s="39" t="s">
        <v>145</v>
      </c>
    </row>
    <row r="53" customFormat="false" ht="15.75" hidden="false" customHeight="true" outlineLevel="0" collapsed="false">
      <c r="B53" s="35" t="n">
        <v>48</v>
      </c>
      <c r="C53" s="36" t="s">
        <v>160</v>
      </c>
      <c r="D53" s="37" t="s">
        <v>69</v>
      </c>
      <c r="E53" s="38" t="n">
        <v>210</v>
      </c>
      <c r="F53" s="39" t="s">
        <v>161</v>
      </c>
    </row>
    <row r="54" customFormat="false" ht="15.75" hidden="false" customHeight="true" outlineLevel="0" collapsed="false">
      <c r="B54" s="35" t="n">
        <v>49</v>
      </c>
      <c r="C54" s="36" t="s">
        <v>162</v>
      </c>
      <c r="D54" s="37" t="s">
        <v>72</v>
      </c>
      <c r="E54" s="38" t="n">
        <v>96</v>
      </c>
      <c r="F54" s="39" t="s">
        <v>163</v>
      </c>
    </row>
    <row r="55" customFormat="false" ht="15.75" hidden="false" customHeight="true" outlineLevel="0" collapsed="false">
      <c r="B55" s="35" t="n">
        <v>50</v>
      </c>
      <c r="C55" s="36" t="s">
        <v>164</v>
      </c>
      <c r="D55" s="37" t="s">
        <v>75</v>
      </c>
      <c r="E55" s="38" t="n">
        <v>140</v>
      </c>
      <c r="F55" s="39" t="s">
        <v>165</v>
      </c>
    </row>
    <row r="56" customFormat="false" ht="15.75" hidden="false" customHeight="true" outlineLevel="0" collapsed="false">
      <c r="B56" s="84" t="n">
        <v>51</v>
      </c>
      <c r="C56" s="85"/>
      <c r="D56" s="86"/>
      <c r="E56" s="87"/>
      <c r="F56" s="85"/>
    </row>
    <row r="57" customFormat="false" ht="15.75" hidden="false" customHeight="true" outlineLevel="0" collapsed="false">
      <c r="B57" s="84" t="n">
        <v>52</v>
      </c>
      <c r="C57" s="85"/>
      <c r="D57" s="86"/>
      <c r="E57" s="87"/>
      <c r="F57" s="85"/>
    </row>
    <row r="58" customFormat="false" ht="15.75" hidden="false" customHeight="true" outlineLevel="0" collapsed="false">
      <c r="B58" s="84" t="n">
        <v>53</v>
      </c>
      <c r="C58" s="85"/>
      <c r="D58" s="86"/>
      <c r="E58" s="87"/>
      <c r="F58" s="85"/>
    </row>
    <row r="59" customFormat="false" ht="15.75" hidden="false" customHeight="true" outlineLevel="0" collapsed="false">
      <c r="B59" s="84" t="n">
        <v>54</v>
      </c>
      <c r="C59" s="85"/>
      <c r="D59" s="86"/>
      <c r="E59" s="87"/>
      <c r="F59" s="85"/>
    </row>
    <row r="60" customFormat="false" ht="15.75" hidden="false" customHeight="true" outlineLevel="0" collapsed="false">
      <c r="B60" s="84" t="n">
        <v>55</v>
      </c>
      <c r="C60" s="85"/>
      <c r="D60" s="86"/>
      <c r="E60" s="87"/>
      <c r="F60" s="85"/>
    </row>
    <row r="61" customFormat="false" ht="15.75" hidden="false" customHeight="true" outlineLevel="0" collapsed="false">
      <c r="B61" s="84" t="n">
        <v>56</v>
      </c>
      <c r="C61" s="85"/>
      <c r="D61" s="86"/>
      <c r="E61" s="87"/>
      <c r="F61" s="85"/>
    </row>
    <row r="62" customFormat="false" ht="15.75" hidden="false" customHeight="true" outlineLevel="0" collapsed="false">
      <c r="B62" s="84" t="n">
        <v>57</v>
      </c>
      <c r="C62" s="85"/>
      <c r="D62" s="86"/>
      <c r="E62" s="87"/>
      <c r="F62" s="85"/>
    </row>
    <row r="63" customFormat="false" ht="15.75" hidden="false" customHeight="true" outlineLevel="0" collapsed="false">
      <c r="B63" s="84" t="n">
        <v>58</v>
      </c>
      <c r="C63" s="85"/>
      <c r="D63" s="86"/>
      <c r="E63" s="87"/>
      <c r="F63" s="85"/>
    </row>
    <row r="64" customFormat="false" ht="15.75" hidden="false" customHeight="true" outlineLevel="0" collapsed="false">
      <c r="B64" s="84" t="n">
        <v>59</v>
      </c>
      <c r="C64" s="85"/>
      <c r="D64" s="86"/>
      <c r="E64" s="87"/>
      <c r="F64" s="85"/>
    </row>
    <row r="65" customFormat="false" ht="15.75" hidden="false" customHeight="true" outlineLevel="0" collapsed="false">
      <c r="B65" s="84" t="n">
        <v>60</v>
      </c>
      <c r="C65" s="85"/>
      <c r="D65" s="86"/>
      <c r="E65" s="87"/>
      <c r="F65" s="85"/>
    </row>
    <row r="66" customFormat="false" ht="15.75" hidden="false" customHeight="true" outlineLevel="0" collapsed="false">
      <c r="B66" s="84" t="n">
        <v>61</v>
      </c>
      <c r="C66" s="85"/>
      <c r="D66" s="86"/>
      <c r="E66" s="87"/>
      <c r="F66" s="85"/>
    </row>
    <row r="67" customFormat="false" ht="15.75" hidden="false" customHeight="true" outlineLevel="0" collapsed="false">
      <c r="B67" s="84" t="n">
        <v>62</v>
      </c>
      <c r="C67" s="85"/>
      <c r="D67" s="86"/>
      <c r="E67" s="87"/>
      <c r="F67" s="85"/>
    </row>
    <row r="68" customFormat="false" ht="15.75" hidden="false" customHeight="true" outlineLevel="0" collapsed="false">
      <c r="B68" s="84" t="n">
        <v>63</v>
      </c>
      <c r="C68" s="85"/>
      <c r="D68" s="86"/>
      <c r="E68" s="87"/>
      <c r="F68" s="85"/>
    </row>
    <row r="69" customFormat="false" ht="15.75" hidden="false" customHeight="true" outlineLevel="0" collapsed="false">
      <c r="B69" s="84" t="n">
        <v>64</v>
      </c>
      <c r="C69" s="85"/>
      <c r="D69" s="86"/>
      <c r="E69" s="87"/>
      <c r="F69" s="85"/>
    </row>
    <row r="70" customFormat="false" ht="15.75" hidden="false" customHeight="true" outlineLevel="0" collapsed="false">
      <c r="B70" s="84" t="n">
        <v>65</v>
      </c>
      <c r="C70" s="85"/>
      <c r="D70" s="86"/>
      <c r="E70" s="87"/>
      <c r="F70" s="85"/>
    </row>
    <row r="71" customFormat="false" ht="15.75" hidden="false" customHeight="true" outlineLevel="0" collapsed="false">
      <c r="B71" s="84" t="n">
        <v>66</v>
      </c>
      <c r="C71" s="85"/>
      <c r="D71" s="86"/>
      <c r="E71" s="87"/>
      <c r="F71" s="85"/>
    </row>
    <row r="72" customFormat="false" ht="15.75" hidden="false" customHeight="true" outlineLevel="0" collapsed="false">
      <c r="B72" s="84" t="n">
        <v>67</v>
      </c>
      <c r="C72" s="85"/>
      <c r="D72" s="86"/>
      <c r="E72" s="87"/>
      <c r="F72" s="85"/>
    </row>
    <row r="73" customFormat="false" ht="15.75" hidden="false" customHeight="true" outlineLevel="0" collapsed="false">
      <c r="B73" s="84" t="n">
        <v>68</v>
      </c>
      <c r="C73" s="85"/>
      <c r="D73" s="86"/>
      <c r="E73" s="87"/>
      <c r="F73" s="85"/>
    </row>
    <row r="74" customFormat="false" ht="15.75" hidden="false" customHeight="true" outlineLevel="0" collapsed="false">
      <c r="B74" s="84" t="n">
        <v>69</v>
      </c>
      <c r="C74" s="85"/>
      <c r="D74" s="86"/>
      <c r="E74" s="87"/>
      <c r="F74" s="85"/>
    </row>
    <row r="75" customFormat="false" ht="15.75" hidden="false" customHeight="true" outlineLevel="0" collapsed="false">
      <c r="B75" s="84" t="n">
        <v>70</v>
      </c>
      <c r="C75" s="85"/>
      <c r="D75" s="86"/>
      <c r="E75" s="87"/>
      <c r="F75" s="85"/>
    </row>
    <row r="76" customFormat="false" ht="15.75" hidden="false" customHeight="true" outlineLevel="0" collapsed="false">
      <c r="B76" s="84" t="n">
        <v>71</v>
      </c>
      <c r="C76" s="85"/>
      <c r="D76" s="86"/>
      <c r="E76" s="87"/>
      <c r="F76" s="85"/>
    </row>
    <row r="77" customFormat="false" ht="15.75" hidden="false" customHeight="true" outlineLevel="0" collapsed="false">
      <c r="B77" s="84" t="n">
        <v>72</v>
      </c>
      <c r="C77" s="85"/>
      <c r="D77" s="86"/>
      <c r="E77" s="87"/>
      <c r="F77" s="85"/>
    </row>
    <row r="78" customFormat="false" ht="15.75" hidden="false" customHeight="true" outlineLevel="0" collapsed="false">
      <c r="B78" s="84" t="n">
        <v>73</v>
      </c>
      <c r="C78" s="85"/>
      <c r="D78" s="86"/>
      <c r="E78" s="87"/>
      <c r="F78" s="85"/>
    </row>
    <row r="79" customFormat="false" ht="15.75" hidden="false" customHeight="true" outlineLevel="0" collapsed="false">
      <c r="B79" s="84" t="n">
        <v>74</v>
      </c>
      <c r="C79" s="85"/>
      <c r="D79" s="86"/>
      <c r="E79" s="87"/>
      <c r="F79" s="85"/>
    </row>
    <row r="80" customFormat="false" ht="15.75" hidden="false" customHeight="true" outlineLevel="0" collapsed="false">
      <c r="B80" s="84" t="n">
        <v>75</v>
      </c>
      <c r="C80" s="85"/>
      <c r="D80" s="86"/>
      <c r="E80" s="87"/>
      <c r="F80" s="85"/>
    </row>
    <row r="81" customFormat="false" ht="15.75" hidden="false" customHeight="true" outlineLevel="0" collapsed="false">
      <c r="B81" s="84" t="n">
        <v>76</v>
      </c>
      <c r="C81" s="85"/>
      <c r="D81" s="86"/>
      <c r="E81" s="87"/>
      <c r="F81" s="85"/>
    </row>
    <row r="82" customFormat="false" ht="15.75" hidden="false" customHeight="true" outlineLevel="0" collapsed="false">
      <c r="B82" s="84" t="n">
        <v>77</v>
      </c>
      <c r="C82" s="85"/>
      <c r="D82" s="86"/>
      <c r="E82" s="87"/>
      <c r="F82" s="85"/>
    </row>
    <row r="83" customFormat="false" ht="15.75" hidden="false" customHeight="true" outlineLevel="0" collapsed="false">
      <c r="B83" s="84" t="n">
        <v>78</v>
      </c>
      <c r="C83" s="85"/>
      <c r="D83" s="86"/>
      <c r="E83" s="87"/>
      <c r="F83" s="85"/>
    </row>
    <row r="84" customFormat="false" ht="15.75" hidden="false" customHeight="true" outlineLevel="0" collapsed="false">
      <c r="B84" s="84" t="n">
        <v>79</v>
      </c>
      <c r="C84" s="85"/>
      <c r="D84" s="86"/>
      <c r="E84" s="87"/>
      <c r="F84" s="85"/>
    </row>
    <row r="85" customFormat="false" ht="15.75" hidden="false" customHeight="true" outlineLevel="0" collapsed="false">
      <c r="B85" s="84" t="n">
        <v>80</v>
      </c>
      <c r="C85" s="85"/>
      <c r="D85" s="86"/>
      <c r="E85" s="87"/>
      <c r="F85" s="85"/>
    </row>
    <row r="86" customFormat="false" ht="15.75" hidden="false" customHeight="true" outlineLevel="0" collapsed="false">
      <c r="B86" s="84" t="n">
        <v>81</v>
      </c>
      <c r="C86" s="85"/>
      <c r="D86" s="86"/>
      <c r="E86" s="87"/>
      <c r="F86" s="85"/>
    </row>
    <row r="87" customFormat="false" ht="15.75" hidden="false" customHeight="true" outlineLevel="0" collapsed="false">
      <c r="B87" s="84" t="n">
        <v>82</v>
      </c>
      <c r="C87" s="85"/>
      <c r="D87" s="86"/>
      <c r="E87" s="87"/>
      <c r="F87" s="85"/>
    </row>
    <row r="88" customFormat="false" ht="15.75" hidden="false" customHeight="true" outlineLevel="0" collapsed="false">
      <c r="B88" s="84" t="n">
        <v>83</v>
      </c>
      <c r="C88" s="85"/>
      <c r="D88" s="86"/>
      <c r="E88" s="87"/>
      <c r="F88" s="85"/>
    </row>
    <row r="89" customFormat="false" ht="15.75" hidden="false" customHeight="true" outlineLevel="0" collapsed="false">
      <c r="B89" s="84" t="n">
        <v>84</v>
      </c>
      <c r="C89" s="85"/>
      <c r="D89" s="86"/>
      <c r="E89" s="87"/>
      <c r="F89" s="85"/>
    </row>
    <row r="90" customFormat="false" ht="15.75" hidden="false" customHeight="true" outlineLevel="0" collapsed="false">
      <c r="B90" s="84" t="n">
        <v>85</v>
      </c>
      <c r="C90" s="85"/>
      <c r="D90" s="86"/>
      <c r="E90" s="87"/>
      <c r="F90" s="85"/>
    </row>
    <row r="91" customFormat="false" ht="15.75" hidden="false" customHeight="true" outlineLevel="0" collapsed="false">
      <c r="B91" s="84" t="n">
        <v>86</v>
      </c>
      <c r="C91" s="85"/>
      <c r="D91" s="86"/>
      <c r="E91" s="87"/>
      <c r="F91" s="85"/>
    </row>
    <row r="92" customFormat="false" ht="15.75" hidden="false" customHeight="true" outlineLevel="0" collapsed="false">
      <c r="B92" s="84" t="n">
        <v>87</v>
      </c>
      <c r="C92" s="85"/>
      <c r="D92" s="86"/>
      <c r="E92" s="87"/>
      <c r="F92" s="85"/>
    </row>
    <row r="93" customFormat="false" ht="15.75" hidden="false" customHeight="true" outlineLevel="0" collapsed="false">
      <c r="B93" s="84" t="n">
        <v>88</v>
      </c>
      <c r="C93" s="85"/>
      <c r="D93" s="86"/>
      <c r="E93" s="87"/>
      <c r="F93" s="85"/>
    </row>
    <row r="94" customFormat="false" ht="15.75" hidden="false" customHeight="true" outlineLevel="0" collapsed="false">
      <c r="B94" s="84" t="n">
        <v>89</v>
      </c>
      <c r="C94" s="85"/>
      <c r="D94" s="86"/>
      <c r="E94" s="87"/>
      <c r="F94" s="85"/>
    </row>
    <row r="95" customFormat="false" ht="15.75" hidden="false" customHeight="true" outlineLevel="0" collapsed="false">
      <c r="B95" s="84" t="n">
        <v>90</v>
      </c>
      <c r="C95" s="85"/>
      <c r="D95" s="86"/>
      <c r="E95" s="87"/>
      <c r="F95" s="85"/>
    </row>
    <row r="96" customFormat="false" ht="15.75" hidden="false" customHeight="true" outlineLevel="0" collapsed="false">
      <c r="B96" s="84" t="n">
        <v>91</v>
      </c>
      <c r="C96" s="85"/>
      <c r="D96" s="86"/>
      <c r="E96" s="87"/>
      <c r="F96" s="85"/>
    </row>
    <row r="97" customFormat="false" ht="15.75" hidden="false" customHeight="true" outlineLevel="0" collapsed="false">
      <c r="B97" s="84" t="n">
        <v>92</v>
      </c>
      <c r="C97" s="85"/>
      <c r="D97" s="86"/>
      <c r="E97" s="87"/>
      <c r="F97" s="85"/>
    </row>
    <row r="98" customFormat="false" ht="15.75" hidden="false" customHeight="true" outlineLevel="0" collapsed="false">
      <c r="B98" s="84" t="n">
        <v>93</v>
      </c>
      <c r="C98" s="85"/>
      <c r="D98" s="86"/>
      <c r="E98" s="87"/>
      <c r="F98" s="85"/>
    </row>
    <row r="99" customFormat="false" ht="15.75" hidden="false" customHeight="true" outlineLevel="0" collapsed="false">
      <c r="B99" s="84" t="n">
        <v>94</v>
      </c>
      <c r="C99" s="85"/>
      <c r="D99" s="86"/>
      <c r="E99" s="87"/>
      <c r="F99" s="85"/>
    </row>
    <row r="100" customFormat="false" ht="15.75" hidden="false" customHeight="true" outlineLevel="0" collapsed="false">
      <c r="B100" s="84" t="n">
        <v>95</v>
      </c>
      <c r="C100" s="85"/>
      <c r="D100" s="86"/>
      <c r="E100" s="87"/>
      <c r="F100" s="85"/>
    </row>
    <row r="101" customFormat="false" ht="15.75" hidden="false" customHeight="true" outlineLevel="0" collapsed="false">
      <c r="B101" s="84" t="n">
        <v>96</v>
      </c>
      <c r="C101" s="85"/>
      <c r="D101" s="86"/>
      <c r="E101" s="87"/>
      <c r="F101" s="85"/>
    </row>
    <row r="102" customFormat="false" ht="15.75" hidden="false" customHeight="true" outlineLevel="0" collapsed="false">
      <c r="B102" s="84" t="n">
        <v>97</v>
      </c>
      <c r="C102" s="85"/>
      <c r="D102" s="86"/>
      <c r="E102" s="87"/>
      <c r="F102" s="85"/>
    </row>
    <row r="103" customFormat="false" ht="15.75" hidden="false" customHeight="true" outlineLevel="0" collapsed="false">
      <c r="B103" s="84" t="n">
        <v>98</v>
      </c>
      <c r="C103" s="85"/>
      <c r="D103" s="86"/>
      <c r="E103" s="87"/>
      <c r="F103" s="85"/>
    </row>
    <row r="104" customFormat="false" ht="15.75" hidden="false" customHeight="true" outlineLevel="0" collapsed="false">
      <c r="B104" s="84" t="n">
        <v>99</v>
      </c>
      <c r="C104" s="85"/>
      <c r="D104" s="86"/>
      <c r="E104" s="87"/>
      <c r="F104" s="85"/>
    </row>
    <row r="105" customFormat="false" ht="15.75" hidden="false" customHeight="true" outlineLevel="0" collapsed="false">
      <c r="B105" s="84" t="n">
        <v>100</v>
      </c>
      <c r="C105" s="85"/>
      <c r="D105" s="86"/>
      <c r="E105" s="87"/>
      <c r="F105" s="85"/>
    </row>
    <row r="106" customFormat="false" ht="30" hidden="false" customHeight="true" outlineLevel="0" collapsed="false">
      <c r="B106" s="88" t="s">
        <v>166</v>
      </c>
      <c r="C106" s="88"/>
      <c r="D106" s="88"/>
      <c r="E106" s="89" t="n">
        <f aca="false">SUM(E6:E105)</f>
        <v>8804.6</v>
      </c>
    </row>
  </sheetData>
  <mergeCells count="3">
    <mergeCell ref="B2:G2"/>
    <mergeCell ref="B3:G3"/>
    <mergeCell ref="B106:D106"/>
  </mergeCells>
  <dataValidations count="1">
    <dataValidation allowBlank="true" error="Escolha uma categoria da lista suspensa." errorStyle="stop" errorTitle="Categoria Inválida" operator="between" showDropDown="false" showErrorMessage="true" showInputMessage="false" sqref="D6:D105" type="list">
      <formula1>"Alimentação,Transporte,Moradia,Saúde,Educação,Lazer,Vestuário,Tecnologia,Serviços,Outros"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1.51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90" t="s">
        <v>167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customFormat="false" ht="19.5" hidden="false" customHeight="true" outlineLevel="0" collapsed="false">
      <c r="B3" s="2" t="s">
        <v>168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9.75" hidden="false" customHeight="true" outlineLevel="0" collapsed="false"/>
    <row r="5" customFormat="false" ht="27.75" hidden="false" customHeight="true" outlineLevel="0" collapsed="false">
      <c r="B5" s="34" t="s">
        <v>169</v>
      </c>
      <c r="C5" s="10" t="s">
        <v>170</v>
      </c>
      <c r="D5" s="91" t="s">
        <v>171</v>
      </c>
      <c r="E5" s="10" t="s">
        <v>172</v>
      </c>
      <c r="F5" s="91" t="s">
        <v>173</v>
      </c>
      <c r="G5" s="10" t="s">
        <v>174</v>
      </c>
      <c r="H5" s="91" t="s">
        <v>175</v>
      </c>
      <c r="I5" s="10" t="s">
        <v>176</v>
      </c>
      <c r="J5" s="91" t="s">
        <v>177</v>
      </c>
      <c r="K5" s="10" t="s">
        <v>178</v>
      </c>
      <c r="L5" s="91" t="s">
        <v>179</v>
      </c>
      <c r="M5" s="10" t="s">
        <v>180</v>
      </c>
      <c r="N5" s="91" t="s">
        <v>181</v>
      </c>
      <c r="O5" s="33" t="s">
        <v>182</v>
      </c>
    </row>
    <row r="6" customFormat="false" ht="21.75" hidden="false" customHeight="true" outlineLevel="0" collapsed="false">
      <c r="B6" s="92" t="s">
        <v>183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customFormat="false" ht="18" hidden="false" customHeight="true" outlineLevel="0" collapsed="false">
      <c r="B7" s="93" t="s">
        <v>184</v>
      </c>
      <c r="C7" s="94" t="n">
        <v>5000</v>
      </c>
      <c r="D7" s="94" t="n">
        <v>5000</v>
      </c>
      <c r="E7" s="94" t="n">
        <v>5000</v>
      </c>
      <c r="F7" s="94" t="n">
        <v>5000</v>
      </c>
      <c r="G7" s="94" t="n">
        <v>5000</v>
      </c>
      <c r="H7" s="94" t="n">
        <v>5000</v>
      </c>
      <c r="I7" s="94" t="n">
        <v>5000</v>
      </c>
      <c r="J7" s="94" t="n">
        <v>5000</v>
      </c>
      <c r="K7" s="94" t="n">
        <v>5000</v>
      </c>
      <c r="L7" s="94" t="n">
        <v>5000</v>
      </c>
      <c r="M7" s="94" t="n">
        <v>5000</v>
      </c>
      <c r="N7" s="94" t="n">
        <v>5000</v>
      </c>
      <c r="O7" s="95" t="n">
        <f aca="false">SUM(C7:N7)</f>
        <v>60000</v>
      </c>
    </row>
    <row r="8" customFormat="false" ht="18" hidden="false" customHeight="true" outlineLevel="0" collapsed="false">
      <c r="B8" s="93" t="s">
        <v>185</v>
      </c>
      <c r="C8" s="94" t="n">
        <v>800</v>
      </c>
      <c r="D8" s="94" t="n">
        <v>1200</v>
      </c>
      <c r="E8" s="94" t="n">
        <v>600</v>
      </c>
      <c r="F8" s="94" t="n">
        <v>900</v>
      </c>
      <c r="G8" s="94" t="n">
        <v>1100</v>
      </c>
      <c r="H8" s="94" t="n">
        <v>700</v>
      </c>
      <c r="I8" s="94" t="n">
        <v>500</v>
      </c>
      <c r="J8" s="94" t="n">
        <v>1300</v>
      </c>
      <c r="K8" s="94" t="n">
        <v>800</v>
      </c>
      <c r="L8" s="94" t="n">
        <v>1000</v>
      </c>
      <c r="M8" s="94" t="n">
        <v>600</v>
      </c>
      <c r="N8" s="94" t="n">
        <v>1500</v>
      </c>
      <c r="O8" s="95" t="n">
        <f aca="false">SUM(C8:N8)</f>
        <v>11000</v>
      </c>
    </row>
    <row r="9" customFormat="false" ht="18" hidden="false" customHeight="true" outlineLevel="0" collapsed="false">
      <c r="B9" s="93" t="s">
        <v>15</v>
      </c>
      <c r="C9" s="94" t="n">
        <v>800</v>
      </c>
      <c r="D9" s="94" t="n">
        <v>800</v>
      </c>
      <c r="E9" s="94" t="n">
        <v>800</v>
      </c>
      <c r="F9" s="94" t="n">
        <v>800</v>
      </c>
      <c r="G9" s="94" t="n">
        <v>800</v>
      </c>
      <c r="H9" s="94" t="n">
        <v>800</v>
      </c>
      <c r="I9" s="94" t="n">
        <v>800</v>
      </c>
      <c r="J9" s="94" t="n">
        <v>800</v>
      </c>
      <c r="K9" s="94" t="n">
        <v>800</v>
      </c>
      <c r="L9" s="94" t="n">
        <v>800</v>
      </c>
      <c r="M9" s="94" t="n">
        <v>800</v>
      </c>
      <c r="N9" s="94" t="n">
        <v>800</v>
      </c>
      <c r="O9" s="95" t="n">
        <f aca="false">SUM(C9:N9)</f>
        <v>9600</v>
      </c>
    </row>
    <row r="10" customFormat="false" ht="18" hidden="false" customHeight="true" outlineLevel="0" collapsed="false">
      <c r="B10" s="93" t="s">
        <v>186</v>
      </c>
      <c r="C10" s="94" t="n">
        <v>0</v>
      </c>
      <c r="D10" s="94" t="n">
        <v>0</v>
      </c>
      <c r="E10" s="94" t="n">
        <v>500</v>
      </c>
      <c r="F10" s="94" t="n">
        <v>0</v>
      </c>
      <c r="G10" s="94" t="n">
        <v>0</v>
      </c>
      <c r="H10" s="94" t="n">
        <v>800</v>
      </c>
      <c r="I10" s="94" t="n">
        <v>0</v>
      </c>
      <c r="J10" s="94" t="n">
        <v>0</v>
      </c>
      <c r="K10" s="94" t="n">
        <v>400</v>
      </c>
      <c r="L10" s="94" t="n">
        <v>0</v>
      </c>
      <c r="M10" s="94" t="n">
        <v>0</v>
      </c>
      <c r="N10" s="94" t="n">
        <v>1200</v>
      </c>
      <c r="O10" s="95" t="n">
        <f aca="false">SUM(C10:N10)</f>
        <v>2900</v>
      </c>
    </row>
    <row r="11" customFormat="false" ht="18" hidden="false" customHeight="true" outlineLevel="0" collapsed="false">
      <c r="B11" s="93" t="s">
        <v>17</v>
      </c>
      <c r="C11" s="94" t="n">
        <v>200</v>
      </c>
      <c r="D11" s="94" t="n">
        <v>0</v>
      </c>
      <c r="E11" s="94" t="n">
        <v>350</v>
      </c>
      <c r="F11" s="94" t="n">
        <v>150</v>
      </c>
      <c r="G11" s="94" t="n">
        <v>0</v>
      </c>
      <c r="H11" s="94" t="n">
        <v>200</v>
      </c>
      <c r="I11" s="94" t="n">
        <v>100</v>
      </c>
      <c r="J11" s="94" t="n">
        <v>300</v>
      </c>
      <c r="K11" s="94" t="n">
        <v>0</v>
      </c>
      <c r="L11" s="94" t="n">
        <v>200</v>
      </c>
      <c r="M11" s="94" t="n">
        <v>150</v>
      </c>
      <c r="N11" s="94" t="n">
        <v>500</v>
      </c>
      <c r="O11" s="95" t="n">
        <f aca="false">SUM(C11:N11)</f>
        <v>2150</v>
      </c>
    </row>
    <row r="12" customFormat="false" ht="25.5" hidden="false" customHeight="true" outlineLevel="0" collapsed="false">
      <c r="B12" s="96" t="s">
        <v>187</v>
      </c>
      <c r="C12" s="97" t="n">
        <f aca="false">SUM(C7:C11)</f>
        <v>6800</v>
      </c>
      <c r="D12" s="97" t="n">
        <f aca="false">SUM(D7:D11)</f>
        <v>7000</v>
      </c>
      <c r="E12" s="97" t="n">
        <f aca="false">SUM(E7:E11)</f>
        <v>7250</v>
      </c>
      <c r="F12" s="97" t="n">
        <f aca="false">SUM(F7:F11)</f>
        <v>6850</v>
      </c>
      <c r="G12" s="97" t="n">
        <f aca="false">SUM(G7:G11)</f>
        <v>6900</v>
      </c>
      <c r="H12" s="97" t="n">
        <f aca="false">SUM(H7:H11)</f>
        <v>7500</v>
      </c>
      <c r="I12" s="97" t="n">
        <f aca="false">SUM(I7:I11)</f>
        <v>6400</v>
      </c>
      <c r="J12" s="97" t="n">
        <f aca="false">SUM(J7:J11)</f>
        <v>7400</v>
      </c>
      <c r="K12" s="97" t="n">
        <f aca="false">SUM(K7:K11)</f>
        <v>7000</v>
      </c>
      <c r="L12" s="97" t="n">
        <f aca="false">SUM(L7:L11)</f>
        <v>7000</v>
      </c>
      <c r="M12" s="97" t="n">
        <f aca="false">SUM(M7:M11)</f>
        <v>6550</v>
      </c>
      <c r="N12" s="97" t="n">
        <f aca="false">SUM(N7:N11)</f>
        <v>9000</v>
      </c>
      <c r="O12" s="98" t="n">
        <f aca="false">SUM(C12:N12)</f>
        <v>85650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99" t="s">
        <v>188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</row>
    <row r="15" customFormat="false" ht="18" hidden="false" customHeight="true" outlineLevel="0" collapsed="false">
      <c r="B15" s="93" t="s">
        <v>189</v>
      </c>
      <c r="C15" s="100" t="n">
        <v>1400</v>
      </c>
      <c r="D15" s="100" t="n">
        <v>1400</v>
      </c>
      <c r="E15" s="100" t="n">
        <v>1400</v>
      </c>
      <c r="F15" s="100" t="n">
        <v>1400</v>
      </c>
      <c r="G15" s="100" t="n">
        <v>1400</v>
      </c>
      <c r="H15" s="100" t="n">
        <v>1400</v>
      </c>
      <c r="I15" s="100" t="n">
        <v>1400</v>
      </c>
      <c r="J15" s="100" t="n">
        <v>1400</v>
      </c>
      <c r="K15" s="100" t="n">
        <v>1400</v>
      </c>
      <c r="L15" s="100" t="n">
        <v>1400</v>
      </c>
      <c r="M15" s="100" t="n">
        <v>1400</v>
      </c>
      <c r="N15" s="100" t="n">
        <v>1400</v>
      </c>
      <c r="O15" s="101" t="n">
        <f aca="false">SUM(C15:N15)</f>
        <v>16800</v>
      </c>
    </row>
    <row r="16" customFormat="false" ht="18" hidden="false" customHeight="true" outlineLevel="0" collapsed="false">
      <c r="B16" s="93" t="s">
        <v>28</v>
      </c>
      <c r="C16" s="100" t="n">
        <v>650</v>
      </c>
      <c r="D16" s="100" t="n">
        <v>620</v>
      </c>
      <c r="E16" s="100" t="n">
        <v>700</v>
      </c>
      <c r="F16" s="100" t="n">
        <v>680</v>
      </c>
      <c r="G16" s="100" t="n">
        <v>730</v>
      </c>
      <c r="H16" s="100" t="n">
        <v>600</v>
      </c>
      <c r="I16" s="100" t="n">
        <v>590</v>
      </c>
      <c r="J16" s="100" t="n">
        <v>710</v>
      </c>
      <c r="K16" s="100" t="n">
        <v>680</v>
      </c>
      <c r="L16" s="100" t="n">
        <v>650</v>
      </c>
      <c r="M16" s="100" t="n">
        <v>700</v>
      </c>
      <c r="N16" s="100" t="n">
        <v>850</v>
      </c>
      <c r="O16" s="101" t="n">
        <f aca="false">SUM(C16:N16)</f>
        <v>8160</v>
      </c>
    </row>
    <row r="17" customFormat="false" ht="18" hidden="false" customHeight="true" outlineLevel="0" collapsed="false">
      <c r="B17" s="93" t="s">
        <v>30</v>
      </c>
      <c r="C17" s="100" t="n">
        <v>320</v>
      </c>
      <c r="D17" s="100" t="n">
        <v>310</v>
      </c>
      <c r="E17" s="100" t="n">
        <v>350</v>
      </c>
      <c r="F17" s="100" t="n">
        <v>330</v>
      </c>
      <c r="G17" s="100" t="n">
        <v>280</v>
      </c>
      <c r="H17" s="100" t="n">
        <v>310</v>
      </c>
      <c r="I17" s="100" t="n">
        <v>300</v>
      </c>
      <c r="J17" s="100" t="n">
        <v>350</v>
      </c>
      <c r="K17" s="100" t="n">
        <v>320</v>
      </c>
      <c r="L17" s="100" t="n">
        <v>330</v>
      </c>
      <c r="M17" s="100" t="n">
        <v>310</v>
      </c>
      <c r="N17" s="100" t="n">
        <v>400</v>
      </c>
      <c r="O17" s="101" t="n">
        <f aca="false">SUM(C17:N17)</f>
        <v>3910</v>
      </c>
    </row>
    <row r="18" customFormat="false" ht="18" hidden="false" customHeight="true" outlineLevel="0" collapsed="false">
      <c r="B18" s="93" t="s">
        <v>66</v>
      </c>
      <c r="C18" s="100" t="n">
        <v>380</v>
      </c>
      <c r="D18" s="100" t="n">
        <v>380</v>
      </c>
      <c r="E18" s="100" t="n">
        <v>380</v>
      </c>
      <c r="F18" s="100" t="n">
        <v>380</v>
      </c>
      <c r="G18" s="100" t="n">
        <v>380</v>
      </c>
      <c r="H18" s="100" t="n">
        <v>380</v>
      </c>
      <c r="I18" s="100" t="n">
        <v>380</v>
      </c>
      <c r="J18" s="100" t="n">
        <v>380</v>
      </c>
      <c r="K18" s="100" t="n">
        <v>380</v>
      </c>
      <c r="L18" s="100" t="n">
        <v>380</v>
      </c>
      <c r="M18" s="100" t="n">
        <v>380</v>
      </c>
      <c r="N18" s="100" t="n">
        <v>380</v>
      </c>
      <c r="O18" s="101" t="n">
        <f aca="false">SUM(C18:N18)</f>
        <v>4560</v>
      </c>
    </row>
    <row r="19" customFormat="false" ht="18" hidden="false" customHeight="true" outlineLevel="0" collapsed="false">
      <c r="B19" s="93" t="s">
        <v>69</v>
      </c>
      <c r="C19" s="100" t="n">
        <v>199</v>
      </c>
      <c r="D19" s="100" t="n">
        <v>199</v>
      </c>
      <c r="E19" s="100" t="n">
        <v>199</v>
      </c>
      <c r="F19" s="100" t="n">
        <v>349</v>
      </c>
      <c r="G19" s="100" t="n">
        <v>199</v>
      </c>
      <c r="H19" s="100" t="n">
        <v>199</v>
      </c>
      <c r="I19" s="100" t="n">
        <v>199</v>
      </c>
      <c r="J19" s="100" t="n">
        <v>199</v>
      </c>
      <c r="K19" s="100" t="n">
        <v>349</v>
      </c>
      <c r="L19" s="100" t="n">
        <v>199</v>
      </c>
      <c r="M19" s="100" t="n">
        <v>199</v>
      </c>
      <c r="N19" s="100" t="n">
        <v>199</v>
      </c>
      <c r="O19" s="101" t="n">
        <f aca="false">SUM(C19:N19)</f>
        <v>2688</v>
      </c>
    </row>
    <row r="20" customFormat="false" ht="18" hidden="false" customHeight="true" outlineLevel="0" collapsed="false">
      <c r="B20" s="93" t="s">
        <v>38</v>
      </c>
      <c r="C20" s="100" t="n">
        <v>150</v>
      </c>
      <c r="D20" s="100" t="n">
        <v>120</v>
      </c>
      <c r="E20" s="100" t="n">
        <v>200</v>
      </c>
      <c r="F20" s="100" t="n">
        <v>180</v>
      </c>
      <c r="G20" s="100" t="n">
        <v>140</v>
      </c>
      <c r="H20" s="100" t="n">
        <v>250</v>
      </c>
      <c r="I20" s="100" t="n">
        <v>160</v>
      </c>
      <c r="J20" s="100" t="n">
        <v>130</v>
      </c>
      <c r="K20" s="100" t="n">
        <v>180</v>
      </c>
      <c r="L20" s="100" t="n">
        <v>200</v>
      </c>
      <c r="M20" s="100" t="n">
        <v>220</v>
      </c>
      <c r="N20" s="100" t="n">
        <v>350</v>
      </c>
      <c r="O20" s="101" t="n">
        <f aca="false">SUM(C20:N20)</f>
        <v>2280</v>
      </c>
    </row>
    <row r="21" customFormat="false" ht="18" hidden="false" customHeight="true" outlineLevel="0" collapsed="false">
      <c r="B21" s="93" t="s">
        <v>75</v>
      </c>
      <c r="C21" s="100" t="n">
        <v>0</v>
      </c>
      <c r="D21" s="100" t="n">
        <v>180</v>
      </c>
      <c r="E21" s="100" t="n">
        <v>0</v>
      </c>
      <c r="F21" s="100" t="n">
        <v>120</v>
      </c>
      <c r="G21" s="100" t="n">
        <v>320</v>
      </c>
      <c r="H21" s="100" t="n">
        <v>0</v>
      </c>
      <c r="I21" s="100" t="n">
        <v>0</v>
      </c>
      <c r="J21" s="100" t="n">
        <v>180</v>
      </c>
      <c r="K21" s="100" t="n">
        <v>0</v>
      </c>
      <c r="L21" s="100" t="n">
        <v>90</v>
      </c>
      <c r="M21" s="100" t="n">
        <v>0</v>
      </c>
      <c r="N21" s="100" t="n">
        <v>450</v>
      </c>
      <c r="O21" s="101" t="n">
        <f aca="false">SUM(C21:N21)</f>
        <v>1340</v>
      </c>
    </row>
    <row r="22" customFormat="false" ht="18" hidden="false" customHeight="true" outlineLevel="0" collapsed="false">
      <c r="B22" s="93" t="s">
        <v>78</v>
      </c>
      <c r="C22" s="100" t="n">
        <v>0</v>
      </c>
      <c r="D22" s="100" t="n">
        <v>0</v>
      </c>
      <c r="E22" s="100" t="n">
        <v>280</v>
      </c>
      <c r="F22" s="100" t="n">
        <v>0</v>
      </c>
      <c r="G22" s="100" t="n">
        <v>0</v>
      </c>
      <c r="H22" s="100" t="n">
        <v>129</v>
      </c>
      <c r="I22" s="100" t="n">
        <v>0</v>
      </c>
      <c r="J22" s="100" t="n">
        <v>0</v>
      </c>
      <c r="K22" s="100" t="n">
        <v>320</v>
      </c>
      <c r="L22" s="100" t="n">
        <v>0</v>
      </c>
      <c r="M22" s="100" t="n">
        <v>0</v>
      </c>
      <c r="N22" s="100" t="n">
        <v>200</v>
      </c>
      <c r="O22" s="101" t="n">
        <f aca="false">SUM(C22:N22)</f>
        <v>929</v>
      </c>
    </row>
    <row r="23" customFormat="false" ht="18" hidden="false" customHeight="true" outlineLevel="0" collapsed="false">
      <c r="B23" s="93" t="s">
        <v>190</v>
      </c>
      <c r="C23" s="100" t="n">
        <v>400</v>
      </c>
      <c r="D23" s="100" t="n">
        <v>380</v>
      </c>
      <c r="E23" s="100" t="n">
        <v>420</v>
      </c>
      <c r="F23" s="100" t="n">
        <v>400</v>
      </c>
      <c r="G23" s="100" t="n">
        <v>390</v>
      </c>
      <c r="H23" s="100" t="n">
        <v>410</v>
      </c>
      <c r="I23" s="100" t="n">
        <v>400</v>
      </c>
      <c r="J23" s="100" t="n">
        <v>380</v>
      </c>
      <c r="K23" s="100" t="n">
        <v>410</v>
      </c>
      <c r="L23" s="100" t="n">
        <v>400</v>
      </c>
      <c r="M23" s="100" t="n">
        <v>390</v>
      </c>
      <c r="N23" s="100" t="n">
        <v>430</v>
      </c>
      <c r="O23" s="101" t="n">
        <f aca="false">SUM(C23:N23)</f>
        <v>4810</v>
      </c>
    </row>
    <row r="24" customFormat="false" ht="18" hidden="false" customHeight="true" outlineLevel="0" collapsed="false">
      <c r="B24" s="93" t="s">
        <v>41</v>
      </c>
      <c r="C24" s="100" t="n">
        <v>150</v>
      </c>
      <c r="D24" s="100" t="n">
        <v>80</v>
      </c>
      <c r="E24" s="100" t="n">
        <v>200</v>
      </c>
      <c r="F24" s="100" t="n">
        <v>120</v>
      </c>
      <c r="G24" s="100" t="n">
        <v>90</v>
      </c>
      <c r="H24" s="100" t="n">
        <v>250</v>
      </c>
      <c r="I24" s="100" t="n">
        <v>100</v>
      </c>
      <c r="J24" s="100" t="n">
        <v>150</v>
      </c>
      <c r="K24" s="100" t="n">
        <v>180</v>
      </c>
      <c r="L24" s="100" t="n">
        <v>130</v>
      </c>
      <c r="M24" s="100" t="n">
        <v>200</v>
      </c>
      <c r="N24" s="100" t="n">
        <v>300</v>
      </c>
      <c r="O24" s="101" t="n">
        <f aca="false">SUM(C24:N24)</f>
        <v>1950</v>
      </c>
    </row>
    <row r="25" customFormat="false" ht="25.5" hidden="false" customHeight="true" outlineLevel="0" collapsed="false">
      <c r="B25" s="102" t="s">
        <v>191</v>
      </c>
      <c r="C25" s="103" t="n">
        <f aca="false">SUM(C15:C24)</f>
        <v>3649</v>
      </c>
      <c r="D25" s="103" t="n">
        <f aca="false">SUM(D15:D24)</f>
        <v>3669</v>
      </c>
      <c r="E25" s="103" t="n">
        <f aca="false">SUM(E15:E24)</f>
        <v>4129</v>
      </c>
      <c r="F25" s="103" t="n">
        <f aca="false">SUM(F15:F24)</f>
        <v>3959</v>
      </c>
      <c r="G25" s="103" t="n">
        <f aca="false">SUM(G15:G24)</f>
        <v>3929</v>
      </c>
      <c r="H25" s="103" t="n">
        <f aca="false">SUM(H15:H24)</f>
        <v>3928</v>
      </c>
      <c r="I25" s="103" t="n">
        <f aca="false">SUM(I15:I24)</f>
        <v>3529</v>
      </c>
      <c r="J25" s="103" t="n">
        <f aca="false">SUM(J15:J24)</f>
        <v>3879</v>
      </c>
      <c r="K25" s="103" t="n">
        <f aca="false">SUM(K15:K24)</f>
        <v>4219</v>
      </c>
      <c r="L25" s="103" t="n">
        <f aca="false">SUM(L15:L24)</f>
        <v>3779</v>
      </c>
      <c r="M25" s="103" t="n">
        <f aca="false">SUM(M15:M24)</f>
        <v>3799</v>
      </c>
      <c r="N25" s="103" t="n">
        <f aca="false">SUM(N15:N24)</f>
        <v>4959</v>
      </c>
      <c r="O25" s="104" t="n">
        <f aca="false">SUM(C25:N25)</f>
        <v>47427</v>
      </c>
    </row>
    <row r="26" customFormat="false" ht="7.5" hidden="false" customHeight="true" outlineLevel="0" collapsed="false"/>
    <row r="27" customFormat="false" ht="31.5" hidden="false" customHeight="true" outlineLevel="0" collapsed="false">
      <c r="B27" s="105" t="s">
        <v>192</v>
      </c>
      <c r="C27" s="106" t="n">
        <f aca="false">C12-C25</f>
        <v>3151</v>
      </c>
      <c r="D27" s="106" t="n">
        <f aca="false">D12-D25</f>
        <v>3331</v>
      </c>
      <c r="E27" s="106" t="n">
        <f aca="false">E12-E25</f>
        <v>3121</v>
      </c>
      <c r="F27" s="106" t="n">
        <f aca="false">F12-F25</f>
        <v>2891</v>
      </c>
      <c r="G27" s="106" t="n">
        <f aca="false">G12-G25</f>
        <v>2971</v>
      </c>
      <c r="H27" s="106" t="n">
        <f aca="false">H12-H25</f>
        <v>3572</v>
      </c>
      <c r="I27" s="106" t="n">
        <f aca="false">I12-I25</f>
        <v>2871</v>
      </c>
      <c r="J27" s="106" t="n">
        <f aca="false">J12-J25</f>
        <v>3521</v>
      </c>
      <c r="K27" s="106" t="n">
        <f aca="false">K12-K25</f>
        <v>2781</v>
      </c>
      <c r="L27" s="106" t="n">
        <f aca="false">L12-L25</f>
        <v>3221</v>
      </c>
      <c r="M27" s="106" t="n">
        <f aca="false">M12-M25</f>
        <v>2751</v>
      </c>
      <c r="N27" s="106" t="n">
        <f aca="false">N12-N25</f>
        <v>4041</v>
      </c>
      <c r="O27" s="107" t="n">
        <f aca="false">O12-O25</f>
        <v>38223</v>
      </c>
    </row>
  </sheetData>
  <mergeCells count="4">
    <mergeCell ref="B2:P2"/>
    <mergeCell ref="B3:P3"/>
    <mergeCell ref="B6:O6"/>
    <mergeCell ref="B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2026-04-22T23:50:39Z</dcterms:created>
  <dc:creator>openpyxl</dc:creator>
  <dc:description/>
  <dc:language>en-US</dc:language>
  <cp:lastModifiedBy/>
  <dcterms:modified xsi:type="dcterms:W3CDTF">2026-04-22T23:50:39Z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
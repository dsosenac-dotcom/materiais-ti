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0" yWindow="0" windowWidth="16384" windowHeight="8192" activeTab="0" tabRatio="500" showSheetTabs="1" showHorizontalScroll="1" showVerticalScroll="1"/>
  </bookViews>
  <sheets>
    <sheet name="📋 ÍNDICE" sheetId="1" state="visible" r:id="rId1"/>
    <sheet name="01-PROCV+SE" sheetId="2" state="visible" r:id="rId2"/>
    <sheet name="02-SOMASES" sheetId="3" state="visible" r:id="rId3"/>
    <sheet name="03-INDICE+CORRESP" sheetId="4" state="visible" r:id="rId4"/>
    <sheet name="07-FUNÇÕES-DATA" sheetId="5" state="visible" r:id="rId5"/>
    <sheet name="08-FUNÇÕES-TEXTO" sheetId="6" state="visible" r:id="rId6"/>
    <sheet name="13-COMISSÃO" sheetId="7" state="visible" r:id="rId7"/>
    <sheet name="16-FINANCIAMENTO" sheetId="8" state="visible" r:id="rId8"/>
    <sheet name="10-DRE" sheetId="9" state="visible" r:id="rId9"/>
    <sheet name="12-DASHBOARD" sheetId="10" state="visible" r:id="rId10"/>
    <sheet name="17-METAS" sheetId="11" state="visible" r:id="rId11"/>
    <sheet name="18-AUDITORIA" sheetId="12" state="visible" r:id="rId12"/>
    <sheet name="15-ESTATÍSTICAS" sheetId="13" state="visible" r:id="rId13"/>
    <sheet name="19-ETL-DADOS" sheetId="14" state="visible" r:id="rId14"/>
    <sheet name="20-MODELO-FINAL" sheetId="15" state="visible" r:id="rId15"/>
  </sheets>
  <calcPr refMode="A1" iterate="0" iterateCount="100" iterateDelta="0.0001"/>
</workbook>
</file>

<file path=xl/sharedStrings.xml><?xml version="1.0" encoding="utf-8"?>
<sst xmlns="http://schemas.openxmlformats.org/spreadsheetml/2006/main" count="743" uniqueCount="743">
  <si>
    <t xml:space="preserve">📊  20 ATIVIDADES EXCEL AVANÇADO — MERCADO 2026</t>
  </si>
  <si>
    <t xml:space="preserve">Curso Técnico | Nível Avançado | Fórmulas e Recursos Usados no Mercado de Trabalho</t>
  </si>
  <si>
    <t>Nº</t>
  </si>
  <si>
    <t>ATIVIDADE</t>
  </si>
  <si>
    <t xml:space="preserve">TEMA / ÁREA</t>
  </si>
  <si>
    <t>DIFICULDADE</t>
  </si>
  <si>
    <t xml:space="preserve">FÓRMULAS PRINCIPAIS</t>
  </si>
  <si>
    <t xml:space="preserve">PROCV + SE Aninhado</t>
  </si>
  <si>
    <t xml:space="preserve">RH / Cadastro</t>
  </si>
  <si>
    <t>⭐⭐⭐</t>
  </si>
  <si>
    <t xml:space="preserve">VLOOKUP, IF, IFERROR</t>
  </si>
  <si>
    <t xml:space="preserve">SOMASES + CONT.SES</t>
  </si>
  <si>
    <t xml:space="preserve">Vendas / Análise</t>
  </si>
  <si>
    <t xml:space="preserve">SUMIFS, COUNTIFS, AVERAGEIFS</t>
  </si>
  <si>
    <t xml:space="preserve">ÍNDICE + CORRESP</t>
  </si>
  <si>
    <t>Financeiro</t>
  </si>
  <si>
    <t>⭐⭐⭐⭐</t>
  </si>
  <si>
    <t xml:space="preserve">INDEX, MATCH, IFERROR</t>
  </si>
  <si>
    <t xml:space="preserve">Tabela Dinâmica Manual</t>
  </si>
  <si>
    <t xml:space="preserve">Estoque / Logística</t>
  </si>
  <si>
    <t xml:space="preserve">SUMIF, COUNTIF, UNIQUE logic</t>
  </si>
  <si>
    <t xml:space="preserve">Formatação Condicional Avançada</t>
  </si>
  <si>
    <t xml:space="preserve">RH / Desempenho</t>
  </si>
  <si>
    <t xml:space="preserve">Conditional Formatting + Formulas</t>
  </si>
  <si>
    <t xml:space="preserve">Validação de Dados + INDIRETO</t>
  </si>
  <si>
    <t>Comercial</t>
  </si>
  <si>
    <t xml:space="preserve">Data Validation, INDIRECT, IF</t>
  </si>
  <si>
    <t xml:space="preserve">Funções de Data (mercado)</t>
  </si>
  <si>
    <t xml:space="preserve">Jurídico / Contratos</t>
  </si>
  <si>
    <t xml:space="preserve">DATEDIF, EDATE, NETWORKDAYS, TODAY</t>
  </si>
  <si>
    <t xml:space="preserve">Funções de Texto Profissionais</t>
  </si>
  <si>
    <t xml:space="preserve">Cadastro / CRM</t>
  </si>
  <si>
    <t xml:space="preserve">TEXTJOIN, LEFT, MID, RIGHT, TRIM, PROPER</t>
  </si>
  <si>
    <t xml:space="preserve">PROCX (XLOOKUP) Moderno</t>
  </si>
  <si>
    <t>Estoque</t>
  </si>
  <si>
    <t xml:space="preserve">XLOOKUP, XMATCH, IF</t>
  </si>
  <si>
    <t xml:space="preserve">Análise Financeira — DRE</t>
  </si>
  <si>
    <t>Controladoria</t>
  </si>
  <si>
    <t>⭐⭐⭐⭐⭐</t>
  </si>
  <si>
    <t xml:space="preserve">SUM, IF, %, ratios financeiros</t>
  </si>
  <si>
    <t xml:space="preserve">Fluxo de Caixa Projetado</t>
  </si>
  <si>
    <t xml:space="preserve">SUM, IF, cumulative cash flow</t>
  </si>
  <si>
    <t xml:space="preserve">Dashboard de Vendas</t>
  </si>
  <si>
    <t xml:space="preserve">Comercial / BI</t>
  </si>
  <si>
    <t xml:space="preserve">SUMIFS, COUNTIFS, Charts</t>
  </si>
  <si>
    <t xml:space="preserve">Cálculo de Comissão Escalonada</t>
  </si>
  <si>
    <t>Vendas</t>
  </si>
  <si>
    <t xml:space="preserve">IF aninhado, VLOOKUP, %</t>
  </si>
  <si>
    <t xml:space="preserve">Controle de Estoque (PEPS/MÉDIO)</t>
  </si>
  <si>
    <t>Logística</t>
  </si>
  <si>
    <t xml:space="preserve">IF, SUM, custo médio ponderado</t>
  </si>
  <si>
    <t xml:space="preserve">Funções Estatísticas de Mercado</t>
  </si>
  <si>
    <t xml:space="preserve">Qualidade / BI</t>
  </si>
  <si>
    <t xml:space="preserve">AVERAGE, STDEV, PERCENTILE, QUARTILE</t>
  </si>
  <si>
    <t xml:space="preserve">Simulador de Financiamento (PGTO)</t>
  </si>
  <si>
    <t xml:space="preserve">PMT, IPMT, PPMT, tabela SAC/Price</t>
  </si>
  <si>
    <t xml:space="preserve">Gestão de Metas com Semáforo</t>
  </si>
  <si>
    <t xml:space="preserve">IF, Conditional Formatting, %</t>
  </si>
  <si>
    <t xml:space="preserve">Auditoria de Fórmulas</t>
  </si>
  <si>
    <t>Qualidade</t>
  </si>
  <si>
    <t xml:space="preserve">IFERROR, ISBLANK, ISNUMBER, ISTEXT</t>
  </si>
  <si>
    <t xml:space="preserve">Power Query Prep (ETL Manual)</t>
  </si>
  <si>
    <t xml:space="preserve">Dados / BI</t>
  </si>
  <si>
    <t xml:space="preserve">TRIM, PROPER, TEXT, SUBSTITUTE</t>
  </si>
  <si>
    <t xml:space="preserve">Modelo Integrado Final</t>
  </si>
  <si>
    <t xml:space="preserve">Todas as áreas</t>
  </si>
  <si>
    <t xml:space="preserve">Integração entre abas + todas as funções</t>
  </si>
  <si>
    <t xml:space="preserve">LEGENDA:  🟡 Célula para o aluno preencher   🟢 Gabarito/fórmula esperada   🔵 Dados de entrada (não alterar)   ⚙️ Fórmula calculada automaticamente</t>
  </si>
  <si>
    <t xml:space="preserve">🏆  GABARITO COMPLETO — Todas as 20 atividades resolvidas
✅  Verde = resposta correta   |   Azul = dado de entrada   |   Laranja = EBITDA/juros
📌  Cada aba contém as fórmulas profissionais usadas no mercado 2026</t>
  </si>
  <si>
    <t xml:space="preserve">ATIVIDADE 01 — PROCV + SE ANINHADO  |  Área: RH e Cadastro</t>
  </si>
  <si>
    <t xml:space="preserve">📌 OBJETIVO: Use PROCV para buscar o cargo de cada funcionário na tabela de cargos. Em seguida, use SE aninhado para classificar o salário em: 'Abaixo da média', 'Na média' ou 'Acima da média'. Aplique SEERRO para evitar erros.</t>
  </si>
  <si>
    <t xml:space="preserve">TABELA DE REFERÊNCIA — CARGOS E SALÁRIOS</t>
  </si>
  <si>
    <t>CÓD</t>
  </si>
  <si>
    <t>CARGO</t>
  </si>
  <si>
    <t>DEPTO</t>
  </si>
  <si>
    <t xml:space="preserve">SALÁRIO BASE</t>
  </si>
  <si>
    <t>BENEFÍCIOS</t>
  </si>
  <si>
    <t>NÍVEL</t>
  </si>
  <si>
    <t>C01</t>
  </si>
  <si>
    <t xml:space="preserve">Analista de RH</t>
  </si>
  <si>
    <t>RH</t>
  </si>
  <si>
    <t>Pleno</t>
  </si>
  <si>
    <t xml:space="preserve">MÉDIA SALARIAL:</t>
  </si>
  <si>
    <t>C02</t>
  </si>
  <si>
    <t xml:space="preserve">Gerente de RH</t>
  </si>
  <si>
    <t>Gerência</t>
  </si>
  <si>
    <t>C03</t>
  </si>
  <si>
    <t xml:space="preserve">Auxiliar Adm.</t>
  </si>
  <si>
    <t>Administrativo</t>
  </si>
  <si>
    <t>Júnior</t>
  </si>
  <si>
    <t>C04</t>
  </si>
  <si>
    <t xml:space="preserve">Analista Financeiro</t>
  </si>
  <si>
    <t>C05</t>
  </si>
  <si>
    <t xml:space="preserve">Coordenador Financeiro</t>
  </si>
  <si>
    <t>Sênior</t>
  </si>
  <si>
    <t>C06</t>
  </si>
  <si>
    <t xml:space="preserve">Dev. de Sistemas</t>
  </si>
  <si>
    <t>TI</t>
  </si>
  <si>
    <t>C07</t>
  </si>
  <si>
    <t xml:space="preserve">Gerente de TI</t>
  </si>
  <si>
    <t>C08</t>
  </si>
  <si>
    <t xml:space="preserve">Analista de Marketing</t>
  </si>
  <si>
    <t>Marketing</t>
  </si>
  <si>
    <t xml:space="preserve">EXERCÍCIO — COMPLETE AS COLUNAS EM AMARELO</t>
  </si>
  <si>
    <t>ID</t>
  </si>
  <si>
    <t>FUNCIONÁRIO</t>
  </si>
  <si>
    <t xml:space="preserve">CÓD. CARGO</t>
  </si>
  <si>
    <t xml:space="preserve">CARGO (PROCV)</t>
  </si>
  <si>
    <t xml:space="preserve">SALÁRIO (PROCV)</t>
  </si>
  <si>
    <t xml:space="preserve">BENEFÍC. (PROCV)</t>
  </si>
  <si>
    <t xml:space="preserve">CLASSIFICAÇÃO (SE)</t>
  </si>
  <si>
    <t xml:space="preserve">FÓRMULA USADA</t>
  </si>
  <si>
    <t xml:space="preserve">Ana Paula</t>
  </si>
  <si>
    <t xml:space="preserve"> =IFERROR(VLOOKUP(C16,$A$5:$F$12,2,0),"") | =IFERROR(VLOOKUP(C16,$A$5:$F$12,4,0),"") | =IF(E16=""," ",IF(E16&lt;$H$6,"Abaixo",IF(E16=$H$6,"Na média","Acima")))</t>
  </si>
  <si>
    <t xml:space="preserve">Carlos Lima</t>
  </si>
  <si>
    <t xml:space="preserve"> =IFERROR(VLOOKUP(C17,$A$5:$F$12,2,0),"") | =IFERROR(VLOOKUP(C17,$A$5:$F$12,4,0),"") | =IF(E17=""," ",IF(E17&lt;$H$6,"Abaixo",IF(E17=$H$6,"Na média","Acima")))</t>
  </si>
  <si>
    <t xml:space="preserve">Fernanda Costa</t>
  </si>
  <si>
    <t xml:space="preserve"> =IFERROR(VLOOKUP(C18,$A$5:$F$12,2,0),"") | =IFERROR(VLOOKUP(C18,$A$5:$F$12,4,0),"") | =IF(E18=""," ",IF(E18&lt;$H$6,"Abaixo",IF(E18=$H$6,"Na média","Acima")))</t>
  </si>
  <si>
    <t xml:space="preserve">Roberto Silva</t>
  </si>
  <si>
    <t xml:space="preserve"> =IFERROR(VLOOKUP(C19,$A$5:$F$12,2,0),"") | =IFERROR(VLOOKUP(C19,$A$5:$F$12,4,0),"") | =IF(E19=""," ",IF(E19&lt;$H$6,"Abaixo",IF(E19=$H$6,"Na média","Acima")))</t>
  </si>
  <si>
    <t xml:space="preserve">Diego Rocha</t>
  </si>
  <si>
    <t xml:space="preserve"> =IFERROR(VLOOKUP(C20,$A$5:$F$12,2,0),"") | =IFERROR(VLOOKUP(C20,$A$5:$F$12,4,0),"") | =IF(E20=""," ",IF(E20&lt;$H$6,"Abaixo",IF(E20=$H$6,"Na média","Acima")))</t>
  </si>
  <si>
    <t xml:space="preserve">Patrícia Souza</t>
  </si>
  <si>
    <t xml:space="preserve"> =IFERROR(VLOOKUP(C21,$A$5:$F$12,2,0),"") | =IFERROR(VLOOKUP(C21,$A$5:$F$12,4,0),"") | =IF(E21=""," ",IF(E21&lt;$H$6,"Abaixo",IF(E21=$H$6,"Na média","Acima")))</t>
  </si>
  <si>
    <t xml:space="preserve">Paulo Henrique</t>
  </si>
  <si>
    <t xml:space="preserve"> =IFERROR(VLOOKUP(C22,$A$5:$F$12,2,0),"") | =IFERROR(VLOOKUP(C22,$A$5:$F$12,4,0),"") | =IF(E22=""," ",IF(E22&lt;$H$6,"Abaixo",IF(E22=$H$6,"Na média","Acima")))</t>
  </si>
  <si>
    <t xml:space="preserve">Marcos Antônio</t>
  </si>
  <si>
    <t xml:space="preserve"> =IFERROR(VLOOKUP(C23,$A$5:$F$12,2,0),"") | =IFERROR(VLOOKUP(C23,$A$5:$F$12,4,0),"") | =IF(E23=""," ",IF(E23&lt;$H$6,"Abaixo",IF(E23=$H$6,"Na média","Acima")))</t>
  </si>
  <si>
    <t xml:space="preserve">GABARITO — FÓRMULAS ESPERADAS</t>
  </si>
  <si>
    <t>COLUNA</t>
  </si>
  <si>
    <t xml:space="preserve">FÓRMULA CORRETA</t>
  </si>
  <si>
    <t>EXPLICAÇÃO</t>
  </si>
  <si>
    <t xml:space="preserve">D (Cargo)</t>
  </si>
  <si>
    <t xml:space="preserve">Busca o cargo na coluna 2 da tabela. IFERROR evita erro se código não existir.</t>
  </si>
  <si>
    <t xml:space="preserve">E (Salário)</t>
  </si>
  <si>
    <t xml:space="preserve">Busca o salário na coluna 4. Use $ para travar referência da tabela.</t>
  </si>
  <si>
    <t xml:space="preserve">F (Benefíc.)</t>
  </si>
  <si>
    <t xml:space="preserve">Benefícios na coluna 5. Mesmo padrão de PROCV travado.</t>
  </si>
  <si>
    <t xml:space="preserve">G (Classif.)</t>
  </si>
  <si>
    <t xml:space="preserve">SE aninhado: compara salário com média calculada em H6.</t>
  </si>
  <si>
    <t xml:space="preserve">ATIVIDADE 02 — SOMASES + CONT.SES  |  Área: Análise de Vendas</t>
  </si>
  <si>
    <t xml:space="preserve">📌 OBJETIVO: Analise a base de vendas usando SOMASES para somar vendas por região+produto+mês, CONT.SES para contar ocorrências e MÉDIASES para calcular ticket médio por segmento.</t>
  </si>
  <si>
    <t xml:space="preserve">BASE DE VENDAS — JAN-JUN/2026</t>
  </si>
  <si>
    <t>VENDEDOR</t>
  </si>
  <si>
    <t>REGIÃO</t>
  </si>
  <si>
    <t>PRODUTO</t>
  </si>
  <si>
    <t>MÊS</t>
  </si>
  <si>
    <t>QTD</t>
  </si>
  <si>
    <t xml:space="preserve">VL. UNIT. (R$)</t>
  </si>
  <si>
    <t xml:space="preserve">VL. TOTAL (R$)</t>
  </si>
  <si>
    <t>STATUS</t>
  </si>
  <si>
    <t>V001</t>
  </si>
  <si>
    <t xml:space="preserve">Ana Silva</t>
  </si>
  <si>
    <t>Sul</t>
  </si>
  <si>
    <t>Notebook</t>
  </si>
  <si>
    <t>Janeiro</t>
  </si>
  <si>
    <t>Realizada</t>
  </si>
  <si>
    <t>V002</t>
  </si>
  <si>
    <t xml:space="preserve">Bruno Costa</t>
  </si>
  <si>
    <t>Norte</t>
  </si>
  <si>
    <t>Mouse</t>
  </si>
  <si>
    <t>V003</t>
  </si>
  <si>
    <t xml:space="preserve">Carla Mendes</t>
  </si>
  <si>
    <t>Sudeste</t>
  </si>
  <si>
    <t>Monitor</t>
  </si>
  <si>
    <t>Fevereiro</t>
  </si>
  <si>
    <t>V004</t>
  </si>
  <si>
    <t>V005</t>
  </si>
  <si>
    <t>Março</t>
  </si>
  <si>
    <t>V006</t>
  </si>
  <si>
    <t xml:space="preserve">Fernanda Lima</t>
  </si>
  <si>
    <t>Centro-Oeste</t>
  </si>
  <si>
    <t>Teclado</t>
  </si>
  <si>
    <t>V007</t>
  </si>
  <si>
    <t>Abril</t>
  </si>
  <si>
    <t>V008</t>
  </si>
  <si>
    <t>V009</t>
  </si>
  <si>
    <t>Maio</t>
  </si>
  <si>
    <t>V010</t>
  </si>
  <si>
    <t>V011</t>
  </si>
  <si>
    <t>Junho</t>
  </si>
  <si>
    <t>V012</t>
  </si>
  <si>
    <t>V013</t>
  </si>
  <si>
    <t>V014</t>
  </si>
  <si>
    <t>V015</t>
  </si>
  <si>
    <t>V016</t>
  </si>
  <si>
    <t>V017</t>
  </si>
  <si>
    <t xml:space="preserve">EXERCÍCIO — ANÁLISE POR SOMASES (complete as células amarelas)</t>
  </si>
  <si>
    <t>ANÁLISE</t>
  </si>
  <si>
    <t xml:space="preserve">CRITÉRIO 1</t>
  </si>
  <si>
    <t xml:space="preserve">CRITÉRIO 2</t>
  </si>
  <si>
    <t>RESULTADO</t>
  </si>
  <si>
    <t xml:space="preserve">FÓRMULA ESPERADA</t>
  </si>
  <si>
    <t xml:space="preserve">Total vendido pela Ana Silva</t>
  </si>
  <si>
    <t xml:space="preserve">Vendedor = Ana Silva</t>
  </si>
  <si>
    <t>—</t>
  </si>
  <si>
    <t xml:space="preserve">Qtd. de vendas do produto Notebook</t>
  </si>
  <si>
    <t xml:space="preserve">Produto = Notebook</t>
  </si>
  <si>
    <t xml:space="preserve">Total de vendas na região Sul</t>
  </si>
  <si>
    <t xml:space="preserve">Região = Sul</t>
  </si>
  <si>
    <t xml:space="preserve">Total de vendas Sul + Notebook</t>
  </si>
  <si>
    <t>Região=Sul</t>
  </si>
  <si>
    <t>Produto=Notebook</t>
  </si>
  <si>
    <t xml:space="preserve">Média do valor total na região Sudeste</t>
  </si>
  <si>
    <t xml:space="preserve">Região = Sudeste</t>
  </si>
  <si>
    <t xml:space="preserve">Contagem de vendas em Janeiro</t>
  </si>
  <si>
    <t xml:space="preserve">Mês = Janeiro</t>
  </si>
  <si>
    <t xml:space="preserve">Total vendido em Maio pela Ana Silva</t>
  </si>
  <si>
    <t>Mês=Maio</t>
  </si>
  <si>
    <t xml:space="preserve">Vendedor=Ana Silva</t>
  </si>
  <si>
    <t xml:space="preserve">Maior venda individual (VL. TOTAL)</t>
  </si>
  <si>
    <t xml:space="preserve">Menor venda individual (VL. TOTAL)</t>
  </si>
  <si>
    <t xml:space="preserve">Ticket médio geral</t>
  </si>
  <si>
    <t xml:space="preserve">ATIVIDADE 03 — ÍNDICE + CORRESP (INDEX+MATCH)  |  Área: Financeiro</t>
  </si>
  <si>
    <t xml:space="preserve">📌 OBJETIVO: Use a combinação INDEX+MATCH para buscar dados em tabelas matriciais — mais poderoso que PROCV. Busque preços por produto+fornecedor, encontre o produto mais caro e faça buscas bidirecionais.</t>
  </si>
  <si>
    <t xml:space="preserve">TABELA DE PREÇOS — PRODUTO × FORNECEDOR</t>
  </si>
  <si>
    <t xml:space="preserve">PRODUTO \ FORNECEDOR</t>
  </si>
  <si>
    <t>FornA</t>
  </si>
  <si>
    <t>FornB</t>
  </si>
  <si>
    <t>FornC</t>
  </si>
  <si>
    <t>FornD</t>
  </si>
  <si>
    <t>Headset</t>
  </si>
  <si>
    <t xml:space="preserve">EXERCÍCIO — BUSCAS COM ÍNDICE + CORRESP</t>
  </si>
  <si>
    <t>BUSCA</t>
  </si>
  <si>
    <t>FORNECEDOR</t>
  </si>
  <si>
    <t xml:space="preserve">Preço do Notebook no FornC</t>
  </si>
  <si>
    <t xml:space="preserve">Preço do Headset no FornA</t>
  </si>
  <si>
    <t xml:space="preserve">Preço do Mouse no FornD</t>
  </si>
  <si>
    <t xml:space="preserve">Preço do Monitor no FornB</t>
  </si>
  <si>
    <t xml:space="preserve">Menor preço do Teclado (qualquer forn.)</t>
  </si>
  <si>
    <t xml:space="preserve">Fornecedor mais barato para Notebook</t>
  </si>
  <si>
    <t xml:space="preserve">Produto mais caro no FornA</t>
  </si>
  <si>
    <t xml:space="preserve">Maior preço em toda a tabela</t>
  </si>
  <si>
    <t xml:space="preserve">ATIVIDADE 07 — FUNÇÕES DE DATA  |  Área: Jurídico / Contratos / RH</t>
  </si>
  <si>
    <t xml:space="preserve">📌 OBJETIVO: Use funções de data do mercado: DATADIF para tempo de serviço, DIATRABALHOTOTAL para prazo útil, DATAM para vencimentos, HOJE() e SE para alertas automáticos de contratos.</t>
  </si>
  <si>
    <t xml:space="preserve">BASE DE CONTRATOS E FUNCIONÁRIOS</t>
  </si>
  <si>
    <t>NOME/CONTRATO</t>
  </si>
  <si>
    <t>INÍCIO</t>
  </si>
  <si>
    <t>TÉRMINO</t>
  </si>
  <si>
    <t xml:space="preserve">DIAS ÚTEIS</t>
  </si>
  <si>
    <t>MESES</t>
  </si>
  <si>
    <t>ANOS</t>
  </si>
  <si>
    <t>ALERTA</t>
  </si>
  <si>
    <t>CT01</t>
  </si>
  <si>
    <t xml:space="preserve">Contrato Fornecedor ABC</t>
  </si>
  <si>
    <t>2024-01-15</t>
  </si>
  <si>
    <t>2026-01-15</t>
  </si>
  <si>
    <t>CT02</t>
  </si>
  <si>
    <t xml:space="preserve">Contrato Aluguel Sede</t>
  </si>
  <si>
    <t>2022-06-01</t>
  </si>
  <si>
    <t>2026-06-01</t>
  </si>
  <si>
    <t>CT03</t>
  </si>
  <si>
    <t xml:space="preserve">Contrato Manutenção TI</t>
  </si>
  <si>
    <t>2025-03-01</t>
  </si>
  <si>
    <t>2026-03-01</t>
  </si>
  <si>
    <t>CT04</t>
  </si>
  <si>
    <t xml:space="preserve">Licença Software ERP</t>
  </si>
  <si>
    <t>2023-09-10</t>
  </si>
  <si>
    <t>2025-09-10</t>
  </si>
  <si>
    <t>CT05</t>
  </si>
  <si>
    <t xml:space="preserve">Seguro Empresarial</t>
  </si>
  <si>
    <t>2025-01-01</t>
  </si>
  <si>
    <t>2026-12-31</t>
  </si>
  <si>
    <t>FN01</t>
  </si>
  <si>
    <t xml:space="preserve">Ana Paula Ferreira (admissão)</t>
  </si>
  <si>
    <t>2018-03-15</t>
  </si>
  <si>
    <t xml:space="preserve">Em aberto</t>
  </si>
  <si>
    <t>FN02</t>
  </si>
  <si>
    <t xml:space="preserve">Carlos Eduardo Lima (admissão)</t>
  </si>
  <si>
    <t>2020-07-01</t>
  </si>
  <si>
    <t>FN03</t>
  </si>
  <si>
    <t xml:space="preserve">Paulo Henrique (admissão)</t>
  </si>
  <si>
    <t>2015-08-01</t>
  </si>
  <si>
    <t xml:space="preserve">GABARITO — FÓRMULAS DE DATA</t>
  </si>
  <si>
    <t>FÓRMULA</t>
  </si>
  <si>
    <t xml:space="preserve">E — Dias úteis</t>
  </si>
  <si>
    <t xml:space="preserve">Calcula dias úteis entre início e fim (ou hoje se em aberto). DIATRABALHOTOTAL no BR.</t>
  </si>
  <si>
    <t xml:space="preserve">F — Meses</t>
  </si>
  <si>
    <t xml:space="preserve">DATADIF com "M" retorna meses completos entre as datas.</t>
  </si>
  <si>
    <t xml:space="preserve">G — Anos</t>
  </si>
  <si>
    <t xml:space="preserve">DATADIF com "Y" retorna anos completos.</t>
  </si>
  <si>
    <t xml:space="preserve">H — Status</t>
  </si>
  <si>
    <t xml:space="preserve">SE aninhado: verifica se está vencido, prestes a vencer ou vigente.</t>
  </si>
  <si>
    <t xml:space="preserve">I — Alerta</t>
  </si>
  <si>
    <t xml:space="preserve">Semáforo de prazo baseado em dias restantes.</t>
  </si>
  <si>
    <t xml:space="preserve">ATIVIDADE 08 — FUNÇÕES DE TEXTO  |  Área: Cadastro / CRM / ETL</t>
  </si>
  <si>
    <t xml:space="preserve">📌 OBJETIVO: Corrija e padronize dados de um CRM bagunçado usando ARRUMAR, PRI.MAIÚSCULA, ESQUERDA, EXT.TEXTO, DIREITA, CONCATENAR/&amp;, SUBSTITUIR e NÚM.CARACT. Habilidade essencial em qualquer empresa.</t>
  </si>
  <si>
    <t xml:space="preserve">BASE BAGUNÇADA — CRM IMPORTADO DO SISTEMA LEGADO</t>
  </si>
  <si>
    <t xml:space="preserve">NOME BRUTO</t>
  </si>
  <si>
    <t xml:space="preserve">EMAIL BRUTO</t>
  </si>
  <si>
    <t xml:space="preserve">CPF BRUTO</t>
  </si>
  <si>
    <t xml:space="preserve">TELEFONE BRUTO</t>
  </si>
  <si>
    <t>UF</t>
  </si>
  <si>
    <t xml:space="preserve">CEP BRUTO</t>
  </si>
  <si>
    <t xml:space="preserve">  ana PAULA ferreira  </t>
  </si>
  <si>
    <t xml:space="preserve">ANA.PAULA@gmail.com  </t>
  </si>
  <si>
    <t>123.456.789-00</t>
  </si>
  <si>
    <t>(11)98765-4321</t>
  </si>
  <si>
    <t>sp</t>
  </si>
  <si>
    <t>01310-100</t>
  </si>
  <si>
    <t xml:space="preserve">CARLOS   eduardo lima</t>
  </si>
  <si>
    <t>carlos@EMPRESA.COM.BR</t>
  </si>
  <si>
    <t>987.654.321-00</t>
  </si>
  <si>
    <t xml:space="preserve">11 9 8888-7777</t>
  </si>
  <si>
    <t>SP</t>
  </si>
  <si>
    <t>04567200</t>
  </si>
  <si>
    <t xml:space="preserve">fernanda da costa</t>
  </si>
  <si>
    <t>Fernanda@yahoo.com</t>
  </si>
  <si>
    <t>111.222.333-44</t>
  </si>
  <si>
    <t xml:space="preserve"> (21) 97654-3210</t>
  </si>
  <si>
    <t>RJ</t>
  </si>
  <si>
    <t>20040-020</t>
  </si>
  <si>
    <t xml:space="preserve">  ROBERTO    silva  </t>
  </si>
  <si>
    <t>roberto.silva@hotmail</t>
  </si>
  <si>
    <t>222.333.444-55</t>
  </si>
  <si>
    <t>21987654321</t>
  </si>
  <si>
    <t>rj</t>
  </si>
  <si>
    <t>22041-001</t>
  </si>
  <si>
    <t xml:space="preserve">juliana MENDES</t>
  </si>
  <si>
    <t>JULIANA@empresa.com.br</t>
  </si>
  <si>
    <t>333.444.555-66</t>
  </si>
  <si>
    <t>(31)3333-4444</t>
  </si>
  <si>
    <t>MG</t>
  </si>
  <si>
    <t xml:space="preserve">30130 010</t>
  </si>
  <si>
    <t xml:space="preserve">marcos antonio SOUZA</t>
  </si>
  <si>
    <t>marcos@gmail.com</t>
  </si>
  <si>
    <t>444.555.666-77</t>
  </si>
  <si>
    <t xml:space="preserve">31 9 9999-8888</t>
  </si>
  <si>
    <t>mg</t>
  </si>
  <si>
    <t>31270-901</t>
  </si>
  <si>
    <t xml:space="preserve">EXERCÍCIO — CORRIJA OS DADOS (complete as células amarelas)</t>
  </si>
  <si>
    <t xml:space="preserve">GABARITO — FÓRMULAS DE TEXTO</t>
  </si>
  <si>
    <t xml:space="preserve">FÓRMULA (linha 14)</t>
  </si>
  <si>
    <t xml:space="preserve">B — Nome</t>
  </si>
  <si>
    <t xml:space="preserve">ARRUMAR remove espaços extras; PRI.MAIÚSCULA formata o nome corretamente.</t>
  </si>
  <si>
    <t xml:space="preserve">C — Email</t>
  </si>
  <si>
    <t xml:space="preserve">LOWER deixa tudo minúsculo; TRIM remove espaços.</t>
  </si>
  <si>
    <t xml:space="preserve">D — CPF</t>
  </si>
  <si>
    <t xml:space="preserve">Remove pontuação, converte para número e reaplica formatação padrão.</t>
  </si>
  <si>
    <t xml:space="preserve">E — Fone</t>
  </si>
  <si>
    <t xml:space="preserve">Limpa todos os caracteres especiais deixando só os dígitos.</t>
  </si>
  <si>
    <t xml:space="preserve">F — UF</t>
  </si>
  <si>
    <t xml:space="preserve">MAIÚSCULA garante padronização da UF.</t>
  </si>
  <si>
    <t xml:space="preserve">G — CEP</t>
  </si>
  <si>
    <t xml:space="preserve">Remove traços/espaços e reformata como 00000-000.</t>
  </si>
  <si>
    <t xml:space="preserve">ATIVIDADE 13 — COMISSÃO ESCALONADA  |  Área: Vendas</t>
  </si>
  <si>
    <t xml:space="preserve">📌 OBJETIVO: Calcule comissões de vendedores com base em faixas de meta (escalonado). Use SE aninhado e PROCV para determinar o percentual correto conforme o total vendido. Muito usado em empresas comerciais.</t>
  </si>
  <si>
    <t xml:space="preserve">TABELA DE COMISSÃO POR FAIXA</t>
  </si>
  <si>
    <t>FAIXA</t>
  </si>
  <si>
    <t xml:space="preserve">VENDA MÍNIMA</t>
  </si>
  <si>
    <t xml:space="preserve">VENDA MÁXIMA</t>
  </si>
  <si>
    <t xml:space="preserve">% COMISSÃO</t>
  </si>
  <si>
    <t xml:space="preserve">BÔNUS EXTRA</t>
  </si>
  <si>
    <t>Bronze</t>
  </si>
  <si>
    <t xml:space="preserve">R$ 0</t>
  </si>
  <si>
    <t xml:space="preserve">R$ 10.000</t>
  </si>
  <si>
    <t>3,0%</t>
  </si>
  <si>
    <t>Prata</t>
  </si>
  <si>
    <t xml:space="preserve">R$ 10.001</t>
  </si>
  <si>
    <t xml:space="preserve">R$ 25.000</t>
  </si>
  <si>
    <t>5,0%</t>
  </si>
  <si>
    <t xml:space="preserve">R$ 500</t>
  </si>
  <si>
    <t>Ouro</t>
  </si>
  <si>
    <t xml:space="preserve">R$ 25.001</t>
  </si>
  <si>
    <t xml:space="preserve">R$ 50.000</t>
  </si>
  <si>
    <t>7,5%</t>
  </si>
  <si>
    <t xml:space="preserve">R$ 1.500</t>
  </si>
  <si>
    <t>Platina</t>
  </si>
  <si>
    <t xml:space="preserve">R$ 50.001</t>
  </si>
  <si>
    <t xml:space="preserve">R$ 100.000</t>
  </si>
  <si>
    <t>10,0%</t>
  </si>
  <si>
    <t xml:space="preserve">R$ 4.000</t>
  </si>
  <si>
    <t>Diamante</t>
  </si>
  <si>
    <t xml:space="preserve">Acima de R$ 100.001</t>
  </si>
  <si>
    <t>13,0%</t>
  </si>
  <si>
    <t xml:space="preserve">TABELA NUMÉRICA PARA PROCV (use esta como referência)</t>
  </si>
  <si>
    <t xml:space="preserve">VENDA MÍN</t>
  </si>
  <si>
    <t>BÔNUS</t>
  </si>
  <si>
    <t xml:space="preserve">EXERCÍCIO — CALCULE A COMISSÃO DE CADA VENDEDOR</t>
  </si>
  <si>
    <t xml:space="preserve">META (R$)</t>
  </si>
  <si>
    <t xml:space="preserve">VENDA REAL (R$)</t>
  </si>
  <si>
    <t xml:space="preserve">% ATINGIDO</t>
  </si>
  <si>
    <t xml:space="preserve">COMISSÃO (R$)</t>
  </si>
  <si>
    <t xml:space="preserve">BÔNUS (R$)</t>
  </si>
  <si>
    <t>V01</t>
  </si>
  <si>
    <t>V02</t>
  </si>
  <si>
    <t>V03</t>
  </si>
  <si>
    <t>V04</t>
  </si>
  <si>
    <t>V05</t>
  </si>
  <si>
    <t>V06</t>
  </si>
  <si>
    <t xml:space="preserve">Gabriel Neto</t>
  </si>
  <si>
    <t>V07</t>
  </si>
  <si>
    <t xml:space="preserve">Helena Cruz</t>
  </si>
  <si>
    <t xml:space="preserve">GABARITO — FÓRMULAS DE COMISSÃO</t>
  </si>
  <si>
    <t xml:space="preserve">E — % Atingido</t>
  </si>
  <si>
    <t xml:space="preserve"> =D21/C21</t>
  </si>
  <si>
    <t xml:space="preserve">Divisão simples: venda real pela meta. Formate como %.</t>
  </si>
  <si>
    <t xml:space="preserve">F — Faixa</t>
  </si>
  <si>
    <t xml:space="preserve"> =IF(D21&gt;=100001,"Diamante",IF(D21&gt;=50001,"Platina",IF(D21&gt;=25001,"Ouro",IF(D21&gt;=10001,"Prata","Bronze"))))</t>
  </si>
  <si>
    <t xml:space="preserve">SE aninhado verifica a faixa conforme o valor vendido.</t>
  </si>
  <si>
    <t xml:space="preserve">G — % Comissão</t>
  </si>
  <si>
    <t xml:space="preserve"> =VLOOKUP(D21,$A$13:$C$17,2,TRUE())</t>
  </si>
  <si>
    <t xml:space="preserve">PROCV com correspondência aproximada (TRUE) busca a faixa correta.</t>
  </si>
  <si>
    <t xml:space="preserve">H — Comissão</t>
  </si>
  <si>
    <t xml:space="preserve"> =D21*G21</t>
  </si>
  <si>
    <t xml:space="preserve">Valor vendido vezes o percentual de comissão.</t>
  </si>
  <si>
    <t xml:space="preserve">I — Bônus</t>
  </si>
  <si>
    <t xml:space="preserve"> =VLOOKUP(D21,$A$13:$C$17,3,TRUE())</t>
  </si>
  <si>
    <t xml:space="preserve">PROCV busca o bônus fixo correspondente à faixa.</t>
  </si>
  <si>
    <t xml:space="preserve">ATIVIDADE 16 — SIMULADOR DE FINANCIAMENTO (PMT/PGTO)  |  Área: Financeiro</t>
  </si>
  <si>
    <t xml:space="preserve">📌 OBJETIVO: Use as funções financeiras PMT (parcela), IPMT (juros da parcela) e PPMT (amortização) para montar uma tabela Price completa. Essencial em bancos, financeiras e controladoria.</t>
  </si>
  <si>
    <t xml:space="preserve">PARÂMETROS DO FINANCIAMENTO (altere as células azuis)</t>
  </si>
  <si>
    <t xml:space="preserve">Valor Financiado (R$)</t>
  </si>
  <si>
    <t xml:space="preserve">PARCELA MENSAL (PMT):</t>
  </si>
  <si>
    <t xml:space="preserve">Taxa de Juros Mensal (%)</t>
  </si>
  <si>
    <t xml:space="preserve">TOTAL PAGO:</t>
  </si>
  <si>
    <t xml:space="preserve">Número de Parcelas</t>
  </si>
  <si>
    <t xml:space="preserve">TOTAL DE JUROS:</t>
  </si>
  <si>
    <t xml:space="preserve">Data 1ª Parcela</t>
  </si>
  <si>
    <t xml:space="preserve">TABELA PRICE — COMPLETE AS COLUNAS AMARELAS (linhas 11 a 34)</t>
  </si>
  <si>
    <t>PARCELA</t>
  </si>
  <si>
    <t xml:space="preserve">DATA VENCTO</t>
  </si>
  <si>
    <t xml:space="preserve">SALDO DEVEDOR</t>
  </si>
  <si>
    <t xml:space="preserve">PARCELA (PMT)</t>
  </si>
  <si>
    <t xml:space="preserve">JUROS (IPMT)</t>
  </si>
  <si>
    <t xml:space="preserve">AMORTIZAÇÃO (PPMT)</t>
  </si>
  <si>
    <t xml:space="preserve">SALDO APÓS</t>
  </si>
  <si>
    <t>TOTAIS</t>
  </si>
  <si>
    <t xml:space="preserve">GABARITO — FÓRMULAS DA TABELA PRICE</t>
  </si>
  <si>
    <t>COL</t>
  </si>
  <si>
    <t xml:space="preserve">FÓRMULA (linha 11)</t>
  </si>
  <si>
    <t xml:space="preserve">D — Parcela</t>
  </si>
  <si>
    <t xml:space="preserve"> =PMT($B$5,$B$4,$B$3*-1)</t>
  </si>
  <si>
    <t xml:space="preserve">Parcela fixa (Price). Use $ para travar parâmetros. Mesma em todas as linhas.</t>
  </si>
  <si>
    <t xml:space="preserve">E — Juros</t>
  </si>
  <si>
    <t xml:space="preserve"> =IPMT($B$5,A11,$B$4,$B$3*-1)</t>
  </si>
  <si>
    <t xml:space="preserve">IPMT calcula os juros da parcela nº A11. Diminui ao longo do tempo.</t>
  </si>
  <si>
    <t xml:space="preserve">F — Amortização</t>
  </si>
  <si>
    <t xml:space="preserve"> =PPMT($B$5,A11,$B$4,$B$3*-1)</t>
  </si>
  <si>
    <t xml:space="preserve">PPMT calcula a amortização da parcela nº A11. Aumenta ao longo do tempo.</t>
  </si>
  <si>
    <t xml:space="preserve">G — Saldo Após</t>
  </si>
  <si>
    <t xml:space="preserve"> =C11-F11</t>
  </si>
  <si>
    <t xml:space="preserve">Saldo devedor menos a amortização desta parcela.</t>
  </si>
  <si>
    <t xml:space="preserve">ATIVIDADE 10 — DRE GERENCIAL  |  Área: Controladoria / Financeiro</t>
  </si>
  <si>
    <t xml:space="preserve">📌 OBJETIVO: Monte uma DRE (Demonstração do Resultado do Exercício) gerencial com dados de 6 meses. Calcule margens, variações mensais e aplique formatação condicional nos indicadores.</t>
  </si>
  <si>
    <t xml:space="preserve">DEMONSTRAÇÃO DO RESULTADO</t>
  </si>
  <si>
    <t>JAN/26</t>
  </si>
  <si>
    <t>FEV/26</t>
  </si>
  <si>
    <t>MAR/26</t>
  </si>
  <si>
    <t>ABR/26</t>
  </si>
  <si>
    <t>MAI/26</t>
  </si>
  <si>
    <t>JUN/26</t>
  </si>
  <si>
    <t xml:space="preserve">RECEITA BRUTA</t>
  </si>
  <si>
    <t xml:space="preserve">(-) Deduções e Impostos</t>
  </si>
  <si>
    <t xml:space="preserve"> =receita líquida</t>
  </si>
  <si>
    <t xml:space="preserve">(-) CMV / CPV</t>
  </si>
  <si>
    <t xml:space="preserve"> =lucro bruto</t>
  </si>
  <si>
    <t xml:space="preserve">Margem Bruta %</t>
  </si>
  <si>
    <t xml:space="preserve">(-) Despesas Operacionais</t>
  </si>
  <si>
    <t xml:space="preserve">(-) Despesas Adm.</t>
  </si>
  <si>
    <t xml:space="preserve"> =ebitda</t>
  </si>
  <si>
    <t xml:space="preserve">Margem EBITDA %</t>
  </si>
  <si>
    <t xml:space="preserve">(-) Depreciação</t>
  </si>
  <si>
    <t xml:space="preserve"> =ebit (lajir)</t>
  </si>
  <si>
    <t xml:space="preserve">(-) Resultado Financeiro</t>
  </si>
  <si>
    <t xml:space="preserve"> =lair</t>
  </si>
  <si>
    <t xml:space="preserve">(-) CSLL + IRPJ (34%)</t>
  </si>
  <si>
    <t xml:space="preserve"> =lucro líquido</t>
  </si>
  <si>
    <t xml:space="preserve">Margem Líquida %</t>
  </si>
  <si>
    <t xml:space="preserve">ATIVIDADE 12 — DASHBOARD DE VENDAS  |  Área: Comercial / BI</t>
  </si>
  <si>
    <t xml:space="preserve">📌 OBJETIVO: Crie um dashboard gerencial usando SOMASES, CONT.SES e gráficos. O painel deve mostrar vendas por região, por produto e por vendedor com indicadores de meta x realizado.</t>
  </si>
  <si>
    <t xml:space="preserve">BASE DE INDICADORES (formule com SOMASES referenciando dados reais)</t>
  </si>
  <si>
    <t>INDICADOR</t>
  </si>
  <si>
    <t>JAN</t>
  </si>
  <si>
    <t>FEV</t>
  </si>
  <si>
    <t>MAR</t>
  </si>
  <si>
    <t>ABR</t>
  </si>
  <si>
    <t>MAI</t>
  </si>
  <si>
    <t>JUN</t>
  </si>
  <si>
    <t>TOTAL</t>
  </si>
  <si>
    <t xml:space="preserve">Total Vendas (R$)</t>
  </si>
  <si>
    <t xml:space="preserve">Qtd Transações</t>
  </si>
  <si>
    <t xml:space="preserve">Ticket Médio (R$)</t>
  </si>
  <si>
    <t xml:space="preserve">Meta Mensal (R$)</t>
  </si>
  <si>
    <t xml:space="preserve">% Atingimento Meta</t>
  </si>
  <si>
    <t xml:space="preserve">ANÁLISE POR PRODUTO</t>
  </si>
  <si>
    <t xml:space="preserve">QTD. VENDIDA</t>
  </si>
  <si>
    <t xml:space="preserve">RECEITA TOTAL</t>
  </si>
  <si>
    <t xml:space="preserve">% DO TOTAL</t>
  </si>
  <si>
    <t xml:space="preserve">ATIVIDADE 17 — GESTÃO DE METAS COM SEMÁFORO  |  Área: Comercial</t>
  </si>
  <si>
    <t xml:space="preserve">📌 OBJETIVO: Crie um painel de metas com semáforo visual usando SE + formatação condicional. Classifique cada vendedor como: 🔴 Crítico (&lt;70%), 🟡 Atenção (70-89%) ou 🟢 Atingido (≥90%). Calcule ranking e premiação.</t>
  </si>
  <si>
    <t xml:space="preserve">PAINEL DE METAS — 1º SEMESTRE 2026</t>
  </si>
  <si>
    <t xml:space="preserve">REALIZADO (R$)</t>
  </si>
  <si>
    <t xml:space="preserve">% ATING.</t>
  </si>
  <si>
    <t xml:space="preserve">PRÊMIO (R$)</t>
  </si>
  <si>
    <t>V08</t>
  </si>
  <si>
    <t xml:space="preserve">Igor Santos</t>
  </si>
  <si>
    <t>V09</t>
  </si>
  <si>
    <t xml:space="preserve">Julia Alves</t>
  </si>
  <si>
    <t>V10</t>
  </si>
  <si>
    <t xml:space="preserve">Kevin Dias</t>
  </si>
  <si>
    <t xml:space="preserve">RANKING DE DESEMPENHO</t>
  </si>
  <si>
    <t>POSIÇÃO</t>
  </si>
  <si>
    <t>PRÊMIO</t>
  </si>
  <si>
    <t xml:space="preserve">ATIVIDADE 18 — AUDITORIA DE FÓRMULAS  |  Área: Qualidade / Controle</t>
  </si>
  <si>
    <t xml:space="preserve">📌 OBJETIVO: Identifique e corrija erros em uma planilha propositalmente com problemas. Use SEERRO, ÉCÉL.VAZIA, ÉNÚM, ÉTEXTO e validações para criar uma planilha à prova de erros — habilidade essencial em controladoria.</t>
  </si>
  <si>
    <t xml:space="preserve">PLANILHA COM ERROS PROPOSITAIS — IDENTIFIQUE E CORRIJA</t>
  </si>
  <si>
    <t xml:space="preserve">DESCRIÇÃO DO DADO</t>
  </si>
  <si>
    <t xml:space="preserve">VALOR BRUTO</t>
  </si>
  <si>
    <t xml:space="preserve">STATUS ATUAL</t>
  </si>
  <si>
    <t>PROBLEMA</t>
  </si>
  <si>
    <t xml:space="preserve">CORREÇÃO (você)</t>
  </si>
  <si>
    <t>E01</t>
  </si>
  <si>
    <t xml:space="preserve">Divisão por zero: receita/qtd</t>
  </si>
  <si>
    <t xml:space="preserve">1000/0  →  #DIV/0!</t>
  </si>
  <si>
    <t xml:space="preserve">Divisão por zero quando qtd=0</t>
  </si>
  <si>
    <t>E02</t>
  </si>
  <si>
    <t xml:space="preserve">PROCV não encontrado</t>
  </si>
  <si>
    <t xml:space="preserve">VLOOKUP(X99)  →  #N/A</t>
  </si>
  <si>
    <t xml:space="preserve">Valor não existe na tabela</t>
  </si>
  <si>
    <t>E03</t>
  </si>
  <si>
    <t xml:space="preserve">Referência inválida</t>
  </si>
  <si>
    <t xml:space="preserve">SUM(coluna deletada)</t>
  </si>
  <si>
    <t xml:space="preserve">Coluna deletada após criar fórmula</t>
  </si>
  <si>
    <t>E04</t>
  </si>
  <si>
    <t xml:space="preserve">Texto em campo numérico</t>
  </si>
  <si>
    <t>abcde</t>
  </si>
  <si>
    <t>TEXTO</t>
  </si>
  <si>
    <t xml:space="preserve">Importação trouxe texto em vez de número</t>
  </si>
  <si>
    <t>E05</t>
  </si>
  <si>
    <t xml:space="preserve">Célula vazia usada em cálculo</t>
  </si>
  <si>
    <t xml:space="preserve">A1 + vazio</t>
  </si>
  <si>
    <t xml:space="preserve">Concatenação de vazio com número</t>
  </si>
  <si>
    <t>E06</t>
  </si>
  <si>
    <t xml:space="preserve">Nome de função errado</t>
  </si>
  <si>
    <t xml:space="preserve">SOMA(B5:B10) no inglês</t>
  </si>
  <si>
    <t xml:space="preserve">Função em português em Excel inglês</t>
  </si>
  <si>
    <t>E07</t>
  </si>
  <si>
    <t xml:space="preserve">Data inválida</t>
  </si>
  <si>
    <t>32/13/2026</t>
  </si>
  <si>
    <t>INVÁLIDA</t>
  </si>
  <si>
    <t xml:space="preserve">Dia 32 mês 13 não existe</t>
  </si>
  <si>
    <t>E08</t>
  </si>
  <si>
    <t xml:space="preserve">Porcentagem maior que 100%</t>
  </si>
  <si>
    <t>152</t>
  </si>
  <si>
    <t>152%</t>
  </si>
  <si>
    <t xml:space="preserve">Aluno digitou 152 em vez de 1.52</t>
  </si>
  <si>
    <t xml:space="preserve">FUNÇÕES DE AUDITORIA — REFERÊNCIA RÁPIDA</t>
  </si>
  <si>
    <t>FUNÇÃO</t>
  </si>
  <si>
    <t>SINTAXE</t>
  </si>
  <si>
    <t>RETORNA</t>
  </si>
  <si>
    <t xml:space="preserve">QUANDO USAR</t>
  </si>
  <si>
    <t xml:space="preserve">IFERROR / SEERRO</t>
  </si>
  <si>
    <t xml:space="preserve">Valor alternativo se erro</t>
  </si>
  <si>
    <t xml:space="preserve">Sempre que houver risco de #N/A, #DIV/0!, #REF!</t>
  </si>
  <si>
    <t xml:space="preserve">ISBLANK / ÉCÉL.VAZIA</t>
  </si>
  <si>
    <t xml:space="preserve">VERDADEIRO se vazia</t>
  </si>
  <si>
    <t xml:space="preserve">Validar se campo obrigatório foi preenchido</t>
  </si>
  <si>
    <t xml:space="preserve">ISNUMBER / ÉNÚM</t>
  </si>
  <si>
    <t xml:space="preserve">VERDADEIRO se número</t>
  </si>
  <si>
    <t xml:space="preserve">Verificar se dado importado é realmente numérico</t>
  </si>
  <si>
    <t xml:space="preserve">ISTEXT / ÉTEXTO</t>
  </si>
  <si>
    <t xml:space="preserve">VERDADEIRO se texto</t>
  </si>
  <si>
    <t xml:space="preserve">Detectar campos numéricos com texto acidental</t>
  </si>
  <si>
    <t xml:space="preserve">ISERROR / ÉERRO</t>
  </si>
  <si>
    <t xml:space="preserve">VERDADEIRO se qualquer erro</t>
  </si>
  <si>
    <t xml:space="preserve">Localizar células com erros em massa</t>
  </si>
  <si>
    <t xml:space="preserve">IFNA / SENÃODISP</t>
  </si>
  <si>
    <t xml:space="preserve">Trata apenas #N/A</t>
  </si>
  <si>
    <t xml:space="preserve">Específico para PROCV e buscas</t>
  </si>
  <si>
    <t xml:space="preserve">ATIVIDADE 15 — FUNÇÕES ESTATÍSTICAS  |  Área: Qualidade / BI / RH</t>
  </si>
  <si>
    <t xml:space="preserve">📌 OBJETIVO: Analise uma base de tempos de atendimento usando funções estatísticas do mercado: MÉDIA, MED (mediana), MODA, DESVPAD, PERCENTIL, QUARTIL e identifique outliers com a regra do IQR.</t>
  </si>
  <si>
    <t xml:space="preserve">BASE DE TEMPOS DE ATENDIMENTO — CALL CENTER (em minutos)</t>
  </si>
  <si>
    <t>ATENDENTE</t>
  </si>
  <si>
    <t xml:space="preserve">TEMPO (min)</t>
  </si>
  <si>
    <t xml:space="preserve">SATISFAÇÃO (1-5)</t>
  </si>
  <si>
    <t>TIPO</t>
  </si>
  <si>
    <t>TURNO</t>
  </si>
  <si>
    <t>RESOLVIDO</t>
  </si>
  <si>
    <t>A01</t>
  </si>
  <si>
    <t xml:space="preserve">Ana Lima</t>
  </si>
  <si>
    <t>Suporte</t>
  </si>
  <si>
    <t>Manhã</t>
  </si>
  <si>
    <t>Sim</t>
  </si>
  <si>
    <t>A02</t>
  </si>
  <si>
    <t xml:space="preserve">Bruno Neto</t>
  </si>
  <si>
    <t>Reclamação</t>
  </si>
  <si>
    <t>Tarde</t>
  </si>
  <si>
    <t>Não</t>
  </si>
  <si>
    <t>A03</t>
  </si>
  <si>
    <t xml:space="preserve">Carla Reis</t>
  </si>
  <si>
    <t>Info</t>
  </si>
  <si>
    <t>A04</t>
  </si>
  <si>
    <t xml:space="preserve">Diego Cruz</t>
  </si>
  <si>
    <t>A05</t>
  </si>
  <si>
    <t>A06</t>
  </si>
  <si>
    <t xml:space="preserve">Fernanda Melo</t>
  </si>
  <si>
    <t>Noite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</si>
  <si>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</si>
  <si>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</si>
  <si>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</si>
  <si>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</si>
  <si>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</si>
  <si>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</si>
  <si>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</si>
  <si>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</si>
  <si>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</si>
  <si>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 xml:space="preserve">ANÁLISE ESTATÍSTICA — COMPLETE AS CÉLULAS AMARELAS</t>
  </si>
  <si>
    <t>INTERPRETAÇÃO</t>
  </si>
  <si>
    <t xml:space="preserve">Média de tempo</t>
  </si>
  <si>
    <t xml:space="preserve">← Resultado em min</t>
  </si>
  <si>
    <t>Mediana</t>
  </si>
  <si>
    <t xml:space="preserve">Desvio Padrão</t>
  </si>
  <si>
    <t>Mínimo</t>
  </si>
  <si>
    <t>Máximo</t>
  </si>
  <si>
    <t xml:space="preserve">1º Quartil (Q1)</t>
  </si>
  <si>
    <t xml:space="preserve">3º Quartil (Q3)</t>
  </si>
  <si>
    <t xml:space="preserve">IQR (Q3-Q1)</t>
  </si>
  <si>
    <t xml:space="preserve">Limite Superior Outlier</t>
  </si>
  <si>
    <t xml:space="preserve">% Resolvidos</t>
  </si>
  <si>
    <t xml:space="preserve">← Calcule e interprete</t>
  </si>
  <si>
    <t xml:space="preserve">Média satisfação</t>
  </si>
  <si>
    <t xml:space="preserve">← Resultado em de 5</t>
  </si>
  <si>
    <t xml:space="preserve">Qtd outliers</t>
  </si>
  <si>
    <t xml:space="preserve">← Resultado em atend.</t>
  </si>
  <si>
    <t xml:space="preserve">ATIVIDADE 19 — ETL: LIMPEZA E PREPARAÇÃO DE DADOS  |  Área: BI / Dados</t>
  </si>
  <si>
    <t xml:space="preserve">📌 OBJETIVO: Prepare dados brutos para análise usando SUBSTITUIR, ARRUMAR, PRI.MAIÚSCULA, TEXTO, EXT.TEXTO, ESQUERDA, DIREITA e NÚM.CARACT. Simula o trabalho real de limpeza antes do Power BI ou relatórios.</t>
  </si>
  <si>
    <t xml:space="preserve">DADOS BRUTOS — EXPORTAÇÃO DO SISTEMA ERP</t>
  </si>
  <si>
    <t xml:space="preserve">DADO BRUTO (sistema)</t>
  </si>
  <si>
    <t xml:space="preserve">PROBLEMA IDENTIFICADO</t>
  </si>
  <si>
    <t xml:space="preserve">DADO LIMPO (você)</t>
  </si>
  <si>
    <t xml:space="preserve">TIPO LIMPEZA</t>
  </si>
  <si>
    <t>D01</t>
  </si>
  <si>
    <t xml:space="preserve">  PRODUTO-NB-001  </t>
  </si>
  <si>
    <t xml:space="preserve">Espaços extras + maiúsculas</t>
  </si>
  <si>
    <t xml:space="preserve"> =PROPER(TRIM(B5))</t>
  </si>
  <si>
    <t xml:space="preserve">TRIM + PROPER</t>
  </si>
  <si>
    <t>D02</t>
  </si>
  <si>
    <t xml:space="preserve">R$  3.200,00</t>
  </si>
  <si>
    <t xml:space="preserve">Espaços e formato BR</t>
  </si>
  <si>
    <t xml:space="preserve"> =VALUE(SUBSTITUTE(SUBSTITUTE(SUBSTITUTE(B6,"R$","")," ",""),",","."))</t>
  </si>
  <si>
    <t xml:space="preserve">SUBSTITUTE + VALUE</t>
  </si>
  <si>
    <t>D03</t>
  </si>
  <si>
    <t>2026/03/15</t>
  </si>
  <si>
    <t xml:space="preserve">Formato AAAA/MM/DD</t>
  </si>
  <si>
    <t xml:space="preserve"> =DATE(LEFT(B7,4),MID(B7,6,2),RIGHT(B7,2))</t>
  </si>
  <si>
    <t>LEFT+MID+RIGHT+DATE</t>
  </si>
  <si>
    <t>D04</t>
  </si>
  <si>
    <t>ana.silva@empresa</t>
  </si>
  <si>
    <t xml:space="preserve">Email sem domínio completo</t>
  </si>
  <si>
    <t xml:space="preserve"> =IF(ISNUMBER(FIND("@",B8)),B8&amp;".com.br",B8)</t>
  </si>
  <si>
    <t xml:space="preserve">FIND + IF + &amp;</t>
  </si>
  <si>
    <t>D05</t>
  </si>
  <si>
    <t>CPF:123.456.789-00</t>
  </si>
  <si>
    <t xml:space="preserve">CPF com prefixo indesejado</t>
  </si>
  <si>
    <t xml:space="preserve"> =TRIM(MID(B9,5,100))</t>
  </si>
  <si>
    <t xml:space="preserve">MID + TRIM</t>
  </si>
  <si>
    <t>D06</t>
  </si>
  <si>
    <t xml:space="preserve">SÃO PAULO - SP</t>
  </si>
  <si>
    <t xml:space="preserve">Cidade + UF juntos</t>
  </si>
  <si>
    <t xml:space="preserve"> =TRIM(LEFT(B10,FIND(" - ",B10)-1))</t>
  </si>
  <si>
    <t xml:space="preserve">LEFT + FIND</t>
  </si>
  <si>
    <t>D07</t>
  </si>
  <si>
    <t>034.567</t>
  </si>
  <si>
    <t xml:space="preserve">Código com zeros à esquerda perdidos</t>
  </si>
  <si>
    <t xml:space="preserve"> =TEXT(VALUE(B11),"000.000")</t>
  </si>
  <si>
    <t xml:space="preserve">TEXT + VALUE</t>
  </si>
  <si>
    <t>D08</t>
  </si>
  <si>
    <t xml:space="preserve">  Masculino  </t>
  </si>
  <si>
    <t xml:space="preserve">Gênero com espaços extras</t>
  </si>
  <si>
    <t xml:space="preserve"> =PROPER(TRIM(B12))</t>
  </si>
  <si>
    <t>TRIM</t>
  </si>
  <si>
    <t>D09</t>
  </si>
  <si>
    <t>01/2026</t>
  </si>
  <si>
    <t xml:space="preserve">Mês/Ano — extrair mês</t>
  </si>
  <si>
    <t xml:space="preserve"> =VALUE(LEFT(B13,2))</t>
  </si>
  <si>
    <t xml:space="preserve">LEFT + VALUE</t>
  </si>
  <si>
    <t>D10</t>
  </si>
  <si>
    <t xml:space="preserve">notebook DELL inspiron 15</t>
  </si>
  <si>
    <t xml:space="preserve">Padronizar nome produto</t>
  </si>
  <si>
    <t xml:space="preserve"> =UPPER(TRIM(B14))</t>
  </si>
  <si>
    <t xml:space="preserve">UPPER + TRIM</t>
  </si>
  <si>
    <t xml:space="preserve">🏆 ATIVIDADE 20 — MODELO INTEGRADO FINAL  |  Projeto Completo</t>
  </si>
  <si>
    <t xml:space="preserve">📌 DESAFIO FINAL: Esta atividade integra TODAS as funções anteriores. Você receberá dados brutos, precisa limpar, calcular, analisar e criar um mini-dashboard. Simula um projeto real de consultoria em Excel.</t>
  </si>
  <si>
    <t xml:space="preserve">CENÁRIO: Você foi contratado como Analista de Dados pela empresa TECH SOLUCOES LTDA</t>
  </si>
  <si>
    <t xml:space="preserve">📋 MISSÃO: A empresa possui dados bagunçados de vendas e precisa de um relatório gerencial para a reunião de diretoria.
Você deve: 1) Limpar os dados  2) Calcular indicadores  3) Criar análise por região  4) Montar painel de metas  5) Identificar outliers</t>
  </si>
  <si>
    <t xml:space="preserve">ETAPA 1 — LIMPEZA DE DADOS (use funções de texto)</t>
  </si>
  <si>
    <t xml:space="preserve">VENDEDOR BRUTO</t>
  </si>
  <si>
    <t xml:space="preserve">REGIÃO BRUTA</t>
  </si>
  <si>
    <t xml:space="preserve">PRODUTO BRUTO</t>
  </si>
  <si>
    <t xml:space="preserve">VENDEDOR OK</t>
  </si>
  <si>
    <t xml:space="preserve">REGIÃO OK</t>
  </si>
  <si>
    <t xml:space="preserve">PRODUTO OK</t>
  </si>
  <si>
    <t xml:space="preserve">VALOR OK</t>
  </si>
  <si>
    <t>F01</t>
  </si>
  <si>
    <t xml:space="preserve">  ANA silva  </t>
  </si>
  <si>
    <t xml:space="preserve">  SUDESTE  </t>
  </si>
  <si>
    <t xml:space="preserve">  notebook  </t>
  </si>
  <si>
    <t xml:space="preserve">R$  15.200</t>
  </si>
  <si>
    <t>F02</t>
  </si>
  <si>
    <t xml:space="preserve">BRUNO  costa</t>
  </si>
  <si>
    <t>sul</t>
  </si>
  <si>
    <t>MONITOR</t>
  </si>
  <si>
    <t>R$8.400</t>
  </si>
  <si>
    <t>F03</t>
  </si>
  <si>
    <t xml:space="preserve">carla MENDES</t>
  </si>
  <si>
    <t xml:space="preserve">  NORTE  </t>
  </si>
  <si>
    <t xml:space="preserve">  mouse  </t>
  </si>
  <si>
    <t xml:space="preserve">R$ 2.100</t>
  </si>
  <si>
    <t>F04</t>
  </si>
  <si>
    <t xml:space="preserve">DIEGO rocha</t>
  </si>
  <si>
    <t>sudeste</t>
  </si>
  <si>
    <t>teclado</t>
  </si>
  <si>
    <t xml:space="preserve">R$ 3.750</t>
  </si>
  <si>
    <t>F05</t>
  </si>
  <si>
    <t xml:space="preserve">  fernanda LIMA  </t>
  </si>
  <si>
    <t>CENTRO-OESTE</t>
  </si>
  <si>
    <t xml:space="preserve">  NOTEBOOK  </t>
  </si>
  <si>
    <t>R$18.900</t>
  </si>
  <si>
    <t>F06</t>
  </si>
  <si>
    <t xml:space="preserve">gabriel NETO</t>
  </si>
  <si>
    <t xml:space="preserve">R$ 9.600</t>
  </si>
  <si>
    <t>F07</t>
  </si>
  <si>
    <t xml:space="preserve">HELENA  cruz</t>
  </si>
  <si>
    <t>MOUSE</t>
  </si>
  <si>
    <t xml:space="preserve">R$ 1.850</t>
  </si>
  <si>
    <t>Julho</t>
  </si>
  <si>
    <t>F08</t>
  </si>
  <si>
    <t xml:space="preserve">igor SANTOS</t>
  </si>
  <si>
    <t>SUDESTE</t>
  </si>
  <si>
    <t>R$22.400</t>
  </si>
  <si>
    <t>Agosto</t>
  </si>
  <si>
    <t xml:space="preserve">ETAPA 2 — INDICADORES CALCULADOS (complete com fórmulas)</t>
  </si>
  <si>
    <t xml:space="preserve">Total de Vendas (R$)</t>
  </si>
  <si>
    <t xml:space="preserve">Média por venda</t>
  </si>
  <si>
    <t xml:space="preserve">Maior venda</t>
  </si>
  <si>
    <t xml:space="preserve">Vendedor campeão</t>
  </si>
  <si>
    <t xml:space="preserve">Total Sudeste</t>
  </si>
  <si>
    <t xml:space="preserve">Qtd. Notebook vendidos</t>
  </si>
  <si>
    <t xml:space="preserve">% de vendas Notebook</t>
  </si>
  <si>
    <t xml:space="preserve">Meta atingida? (&gt;R$80.000)</t>
  </si>
  <si>
    <t xml:space="preserve">ETAPA 3 — DESAFIO BÔNUS: CRIE UM GRÁFICO DE BARRAS COM AS VENDAS POR REGIÃO</t>
  </si>
  <si>
    <t xml:space="preserve">🏆 CRITÉRIOS DE AVALIAÇÃO:
✅ Limpeza correta dos dados (TRIM + PROPER + VALUE) = 30 pontos
✅ Fórmulas de indicadores corretas = 40 pontos
✅ Gráfico criado e formatado profissionalmente = 30 pontos
⭐ BÔNUS: Formatação condicional no painel = +10 pontos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</si>
</sst>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9">
    <numFmt numFmtId="164" formatCode="General"/>
    <numFmt numFmtId="165" formatCode="&quot;R$&quot;#,##0.00"/>
    <numFmt numFmtId="166" formatCode="&quot;R$&quot;#,##0.00"/>
    <numFmt numFmtId="167" formatCode="General"/>
    <numFmt numFmtId="168" formatCode="0"/>
    <numFmt numFmtId="169" formatCode="@"/>
    <numFmt numFmtId="170" formatCode="dd/mm/yyyy"/>
    <numFmt numFmtId="171" formatCode="#,##0"/>
    <numFmt numFmtId="172" formatCode="0&quot; meses&quot;"/>
    <numFmt numFmtId="173" formatCode="0&quot; anos&quot;"/>
    <numFmt numFmtId="174" formatCode="&quot;R$&quot;#,##0"/>
    <numFmt numFmtId="175" formatCode="0.0%"/>
    <numFmt numFmtId="176" formatCode="0.00%"/>
    <numFmt numFmtId="177" formatCode="0.0"/>
    <numFmt numFmtId="178" formatCode="0.00&quot; min&quot;"/>
    <numFmt numFmtId="179" formatCode="0.00&quot; / 5&quot;"/>
    <numFmt numFmtId="180" formatCode="0&quot; outliers&quot;"/>
    <numFmt numFmtId="181" formatCode="mm/dd/yy"/>
    <numFmt numFmtId="182" formatCode="[$$-409]#,##0.00;[RED]\-[$$-409]#,##0.00"/>
  </numFmts>
  <fonts count="40">
    <font>
      <sz val="11.000000"/>
      <color theme="1"/>
      <name val="Calibri"/>
    </font>
    <font>
      <sz val="10.000000"/>
      <name val="Arial"/>
    </font>
    <font>
      <sz val="10.000000"/>
      <name val="Arial"/>
    </font>
    <font>
      <sz val="10.000000"/>
      <name val="Arial"/>
    </font>
    <font>
      <b/>
      <sz val="16.000000"/>
      <color indexed="65"/>
      <name val="Arial"/>
    </font>
    <font>
      <i/>
      <sz val="11.000000"/>
      <color rgb="FF2E75B6"/>
      <name val="Arial"/>
    </font>
    <font>
      <b/>
      <sz val="10.000000"/>
      <color indexed="65"/>
      <name val="Arial"/>
    </font>
    <font>
      <b/>
      <sz val="10.000000"/>
      <color indexed="64"/>
      <name val="Arial"/>
    </font>
    <font>
      <b/>
      <sz val="10.000000"/>
      <color rgb="FF2E75B6"/>
      <name val="Arial"/>
    </font>
    <font>
      <sz val="10.000000"/>
      <color indexed="64"/>
      <name val="Arial"/>
    </font>
    <font>
      <i/>
      <sz val="9.000000"/>
      <color rgb="FF546E7A"/>
      <name val="Arial"/>
    </font>
    <font>
      <b/>
      <sz val="11.000000"/>
      <color indexed="65"/>
      <name val="Arial"/>
    </font>
    <font>
      <b/>
      <sz val="14.000000"/>
      <color indexed="65"/>
      <name val="Arial"/>
    </font>
    <font>
      <sz val="10.000000"/>
      <color rgb="FF7D6608"/>
      <name val="Arial"/>
    </font>
    <font>
      <sz val="10.000000"/>
      <color indexed="4"/>
      <name val="Arial"/>
    </font>
    <font>
      <b/>
      <sz val="11.000000"/>
      <color rgb="FF2E75B6"/>
      <name val="Arial"/>
    </font>
    <font>
      <b/>
      <sz val="10.000000"/>
      <color indexed="4"/>
      <name val="Arial"/>
    </font>
    <font>
      <sz val="10.000000"/>
      <color rgb="FF1E4620"/>
      <name val="Arial"/>
    </font>
    <font>
      <b/>
      <sz val="10.000000"/>
      <color rgb="FF1E4620"/>
      <name val="Arial"/>
    </font>
    <font>
      <i/>
      <sz val="9.000000"/>
      <color rgb="FF2E7D32"/>
      <name val="Arial"/>
    </font>
    <font>
      <b/>
      <sz val="10.000000"/>
      <color rgb="FF2E7D32"/>
      <name val="Arial"/>
    </font>
    <font>
      <sz val="10.000000"/>
      <color rgb="FF2E7D32"/>
      <name val="Arial"/>
    </font>
    <font>
      <sz val="10.000000"/>
      <color rgb="FF2E75B6"/>
      <name val="Arial"/>
    </font>
    <font>
      <b/>
      <sz val="9.000000"/>
      <color indexed="65"/>
      <name val="Arial"/>
    </font>
    <font>
      <sz val="10.000000"/>
      <color rgb="FFC00000"/>
      <name val="Arial"/>
    </font>
    <font>
      <b/>
      <sz val="11.000000"/>
      <color indexed="4"/>
      <name val="Arial"/>
    </font>
    <font>
      <b/>
      <sz val="12.000000"/>
      <color rgb="FF2E7D32"/>
      <name val="Arial"/>
    </font>
    <font>
      <b/>
      <sz val="11.000000"/>
      <color rgb="FFC00000"/>
      <name val="Arial"/>
    </font>
    <font>
      <b/>
      <sz val="11.000000"/>
      <color rgb="FF7D6608"/>
      <name val="Arial"/>
    </font>
    <font>
      <b/>
      <sz val="10.000000"/>
      <color rgb="FF1F3864"/>
      <name val="Arial"/>
    </font>
    <font>
      <sz val="10.000000"/>
      <color rgb="FFB71C1C"/>
      <name val="Arial"/>
    </font>
    <font>
      <b/>
      <sz val="18.000000"/>
      <color indexed="64"/>
      <name val="Calibri"/>
    </font>
    <font>
      <sz val="10.000000"/>
      <color indexed="64"/>
      <name val="Calibri"/>
    </font>
    <font>
      <b/>
      <sz val="10.000000"/>
      <color indexed="64"/>
      <name val="Calibri"/>
    </font>
    <font>
      <b/>
      <sz val="10.000000"/>
      <color rgb="FFC00000"/>
      <name val="Arial"/>
    </font>
    <font>
      <sz val="10.000000"/>
      <color rgb="FF7B1FA2"/>
      <name val="Arial"/>
    </font>
    <font>
      <i/>
      <sz val="9.000000"/>
      <color indexed="23"/>
      <name val="Arial"/>
    </font>
    <font>
      <sz val="9.000000"/>
      <color rgb="FF2E75B6"/>
      <name val="Arial"/>
    </font>
    <font>
      <sz val="10.000000"/>
      <color rgb="FF1F3864"/>
      <name val="Arial"/>
    </font>
    <font>
      <sz val="10.000000"/>
      <color rgb="FF4A148C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63238"/>
      </patternFill>
    </fill>
    <fill>
      <patternFill patternType="solid">
        <fgColor rgb="FFD6E4F0"/>
        <bgColor rgb="FFE5E4E2"/>
      </patternFill>
    </fill>
    <fill>
      <patternFill patternType="solid">
        <fgColor rgb="FFE8F5E9"/>
        <bgColor rgb="FFECEFF1"/>
      </patternFill>
    </fill>
    <fill>
      <patternFill patternType="solid">
        <fgColor indexed="65"/>
        <bgColor rgb="FFF9F9F9"/>
      </patternFill>
    </fill>
    <fill>
      <patternFill patternType="solid">
        <fgColor rgb="FFFFFDE7"/>
        <bgColor rgb="FFF9F9F9"/>
      </patternFill>
    </fill>
    <fill>
      <patternFill patternType="solid">
        <fgColor rgb="FFFFEBEE"/>
        <bgColor rgb="FFF3E5F5"/>
      </patternFill>
    </fill>
    <fill>
      <patternFill patternType="solid">
        <fgColor rgb="FF1E4620"/>
        <bgColor rgb="FF263238"/>
      </patternFill>
    </fill>
    <fill>
      <patternFill patternType="solid">
        <fgColor rgb="FF2E75B6"/>
        <bgColor rgb="FF4672A8"/>
      </patternFill>
    </fill>
    <fill>
      <patternFill patternType="solid">
        <fgColor rgb="FF2E7D32"/>
        <bgColor rgb="FF546E7A"/>
      </patternFill>
    </fill>
    <fill>
      <patternFill patternType="solid">
        <fgColor rgb="FF546E7A"/>
        <bgColor rgb="FF4672A8"/>
      </patternFill>
    </fill>
    <fill>
      <patternFill patternType="solid">
        <fgColor rgb="FF263238"/>
        <bgColor rgb="FF1F3864"/>
      </patternFill>
    </fill>
    <fill>
      <patternFill patternType="solid">
        <fgColor rgb="FFECEFF1"/>
        <bgColor rgb="FFE8F5E9"/>
      </patternFill>
    </fill>
    <fill>
      <patternFill patternType="solid">
        <fgColor rgb="FFC00000"/>
        <bgColor rgb="FFB71C1C"/>
      </patternFill>
    </fill>
    <fill>
      <patternFill patternType="solid">
        <fgColor rgb="FF7F0000"/>
        <bgColor indexed="16"/>
      </patternFill>
    </fill>
    <fill>
      <patternFill patternType="solid">
        <fgColor rgb="FFCD7F32"/>
        <bgColor rgb="FFDC853E"/>
      </patternFill>
    </fill>
    <fill>
      <patternFill patternType="solid">
        <fgColor indexed="22"/>
        <bgColor rgb="FFBFBFBF"/>
      </patternFill>
    </fill>
    <fill>
      <patternFill patternType="solid">
        <fgColor rgb="FFFFD700"/>
        <bgColor rgb="FFFFF176"/>
      </patternFill>
    </fill>
    <fill>
      <patternFill patternType="solid">
        <fgColor rgb="FFE5E4E2"/>
        <bgColor rgb="FFD6E4F0"/>
      </patternFill>
    </fill>
    <fill>
      <patternFill patternType="solid">
        <fgColor rgb="FFB9F2FF"/>
        <bgColor rgb="FFD6E4F0"/>
      </patternFill>
    </fill>
    <fill>
      <patternFill patternType="solid">
        <fgColor rgb="FF7B1FA2"/>
        <bgColor indexed="20"/>
      </patternFill>
    </fill>
    <fill>
      <patternFill patternType="solid">
        <fgColor rgb="FF4A148C"/>
        <bgColor indexed="62"/>
      </patternFill>
    </fill>
    <fill>
      <patternFill patternType="solid">
        <fgColor rgb="FFF3E5F5"/>
        <bgColor rgb="FFFFEBE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fontId="0" fillId="0" borderId="0" numFmtId="164" applyFont="1" applyBorder="1" applyAlignment="1" applyProtection="1">
      <alignment horizontal="general" indent="0" shrinkToFit="0" textRotation="0" vertical="bottom" wrapText="0"/>
      <protection hidden="0" locked="1"/>
    </xf>
    <xf fontId="1" fillId="0" borderId="0" numFmtId="0" applyFont="1" applyBorder="0" applyAlignment="0" applyProtection="0"/>
    <xf fontId="1" fillId="0" borderId="0" numFmtId="0" applyFont="1" applyBorder="0" applyAlignment="0" applyProtection="0"/>
    <xf fontId="2" fillId="0" borderId="0" numFmtId="0" applyFont="1" applyBorder="0" applyAlignment="0" applyProtection="0"/>
    <xf fontId="2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1" fillId="0" borderId="0" numFmtId="43" applyFont="1" applyBorder="0" applyAlignment="0" applyProtection="0"/>
    <xf fontId="1" fillId="0" borderId="0" numFmtId="41" applyFont="1" applyBorder="0" applyAlignment="0" applyProtection="0"/>
    <xf fontId="1" fillId="0" borderId="0" numFmtId="44" applyFont="1" applyBorder="0" applyAlignment="0" applyProtection="0"/>
    <xf fontId="1" fillId="0" borderId="0" numFmtId="42" applyFont="1" applyBorder="0" applyAlignment="0" applyProtection="0"/>
    <xf fontId="1" fillId="0" borderId="0" numFmtId="9" applyFont="1" applyBorder="0" applyAlignment="0" applyProtection="0"/>
  </cellStyleXfs>
  <cellXfs count="163">
    <xf fontId="0" fillId="0" borderId="0" numFmtId="164" xfId="0" applyFont="0" applyBorder="0" applyAlignment="0" applyProtection="0">
      <alignment horizontal="general" indent="0" shrinkToFit="0" textRotation="0" vertical="bottom" wrapText="0"/>
      <protection hidden="0" locked="1"/>
    </xf>
    <xf fontId="0" fillId="0" borderId="0" numFmtId="164" xfId="0" applyFont="0" applyBorder="0" applyAlignment="1" applyProtection="0">
      <alignment horizontal="general" indent="0" shrinkToFit="0" textRotation="0" vertical="bottom" wrapText="0"/>
      <protection hidden="0" locked="1"/>
    </xf>
    <xf fontId="4" fillId="2" borderId="0" numFmtId="164" xfId="0" applyFont="1" applyBorder="1" applyAlignment="1" applyProtection="0">
      <alignment horizontal="center" indent="0" shrinkToFit="0" textRotation="0" vertical="center" wrapText="0"/>
      <protection hidden="0" locked="1"/>
    </xf>
    <xf fontId="5" fillId="0" borderId="0" numFmtId="164" xfId="0" applyFont="1" applyBorder="1" applyAlignment="1" applyProtection="0">
      <alignment horizontal="center" indent="0" shrinkToFit="0" textRotation="0" vertical="center" wrapText="0"/>
      <protection hidden="0" locked="1"/>
    </xf>
    <xf fontId="6" fillId="2" borderId="1" numFmtId="164" xfId="0" applyFont="1" applyBorder="1" applyAlignment="1" applyProtection="0">
      <alignment horizontal="center" indent="0" shrinkToFit="0" textRotation="0" vertical="center" wrapText="1"/>
      <protection hidden="0" locked="1"/>
    </xf>
    <xf fontId="0" fillId="3" borderId="0" numFmtId="164" xfId="0" applyFont="0" applyBorder="0" applyAlignment="1" applyProtection="0">
      <alignment horizontal="general" indent="0" shrinkToFit="0" textRotation="0" vertical="bottom" wrapText="0"/>
      <protection hidden="0" locked="1"/>
    </xf>
    <xf fontId="7" fillId="3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8" fillId="3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9" fillId="3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9" fillId="4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9" fillId="3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0" fillId="5" borderId="0" numFmtId="164" xfId="0" applyFont="0" applyBorder="0" applyAlignment="1" applyProtection="0">
      <alignment horizontal="general" indent="0" shrinkToFit="0" textRotation="0" vertical="bottom" wrapText="0"/>
      <protection hidden="0" locked="1"/>
    </xf>
    <xf fontId="7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8" fillId="5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9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9" fillId="5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9" fillId="6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9" fillId="7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0" fillId="0" borderId="0" numFmtId="164" xfId="0" applyFont="1" applyBorder="1" applyAlignment="1" applyProtection="0">
      <alignment horizontal="left" indent="0" shrinkToFit="0" textRotation="0" vertical="center" wrapText="0"/>
      <protection hidden="0" locked="1"/>
    </xf>
    <xf fontId="11" fillId="8" borderId="2" numFmtId="164" xfId="0" applyFont="1" applyBorder="1" applyAlignment="1" applyProtection="0">
      <alignment horizontal="left" indent="0" shrinkToFit="0" textRotation="0" vertical="center" wrapText="1"/>
      <protection hidden="0" locked="1"/>
    </xf>
    <xf fontId="12" fillId="2" borderId="0" numFmtId="164" xfId="0" applyFont="1" applyBorder="1" applyAlignment="1" applyProtection="0">
      <alignment horizontal="center" indent="0" shrinkToFit="0" textRotation="0" vertical="center" wrapText="0"/>
      <protection hidden="0" locked="1"/>
    </xf>
    <xf fontId="13" fillId="6" borderId="0" numFmtId="164" xfId="0" applyFont="1" applyBorder="1" applyAlignment="1" applyProtection="0">
      <alignment horizontal="left" indent="0" shrinkToFit="0" textRotation="0" vertical="center" wrapText="1"/>
      <protection hidden="0" locked="1"/>
    </xf>
    <xf fontId="11" fillId="9" borderId="0" numFmtId="164" xfId="0" applyFont="1" applyBorder="1" applyAlignment="1" applyProtection="0">
      <alignment horizontal="left" indent="0" shrinkToFit="0" textRotation="0" vertical="center" wrapText="0"/>
      <protection hidden="0" locked="1"/>
    </xf>
    <xf fontId="14" fillId="5" borderId="1" numFmtId="165" xfId="0" applyFont="1" applyBorder="1" applyAlignment="1" applyProtection="0">
      <alignment horizontal="center" indent="0" shrinkToFit="0" textRotation="0" vertical="center" wrapText="0"/>
      <protection hidden="0" locked="1"/>
    </xf>
    <xf fontId="7" fillId="0" borderId="0" numFmtId="164" xfId="0" applyFont="1" applyBorder="0" applyAlignment="1" applyProtection="0">
      <alignment horizontal="right" indent="0" shrinkToFit="0" textRotation="0" vertical="center" wrapText="0"/>
      <protection hidden="0" locked="1"/>
    </xf>
    <xf fontId="14" fillId="3" borderId="1" numFmtId="165" xfId="0" applyFont="1" applyBorder="1" applyAlignment="1" applyProtection="0">
      <alignment horizontal="center" indent="0" shrinkToFit="0" textRotation="0" vertical="center" wrapText="0"/>
      <protection hidden="0" locked="1"/>
    </xf>
    <xf fontId="15" fillId="3" borderId="1" numFmtId="165" xfId="0" applyFont="1" applyBorder="1" applyAlignment="1" applyProtection="0">
      <alignment horizontal="general" indent="0" shrinkToFit="0" textRotation="0" vertical="bottom" wrapText="0"/>
      <protection hidden="0" locked="1"/>
    </xf>
    <xf fontId="11" fillId="10" borderId="0" numFmtId="164" xfId="0" applyFont="1" applyBorder="1" applyAlignment="1" applyProtection="0">
      <alignment horizontal="left" indent="0" shrinkToFit="0" textRotation="0" vertical="center" wrapText="0"/>
      <protection hidden="0" locked="1"/>
    </xf>
    <xf fontId="6" fillId="8" borderId="1" numFmtId="164" xfId="0" applyFont="1" applyBorder="1" applyAlignment="1" applyProtection="0">
      <alignment horizontal="center" indent="0" shrinkToFit="0" textRotation="0" vertical="center" wrapText="1"/>
      <protection hidden="0" locked="1"/>
    </xf>
    <xf fontId="16" fillId="3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7" fillId="4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7" fillId="4" borderId="1" numFmtId="166" xfId="0" applyFont="1" applyBorder="1" applyAlignment="1" applyProtection="0">
      <alignment horizontal="center" indent="0" shrinkToFit="0" textRotation="0" vertical="center" wrapText="0"/>
      <protection hidden="0" locked="1"/>
    </xf>
    <xf fontId="18" fillId="4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9" fillId="4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11" fillId="11" borderId="0" numFmtId="164" xfId="0" applyFont="1" applyBorder="1" applyAlignment="1" applyProtection="0">
      <alignment horizontal="left" indent="0" shrinkToFit="0" textRotation="0" vertical="center" wrapText="0"/>
      <protection hidden="0" locked="1"/>
    </xf>
    <xf fontId="6" fillId="12" borderId="1" numFmtId="164" xfId="0" applyFont="1" applyBorder="1" applyAlignment="1" applyProtection="0">
      <alignment horizontal="center" indent="0" shrinkToFit="0" textRotation="0" vertical="center" wrapText="1"/>
      <protection hidden="0" locked="1"/>
    </xf>
    <xf fontId="9" fillId="13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20" fillId="4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9" fillId="5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14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0" fillId="13" borderId="1" numFmtId="165" xfId="0" applyFont="0" applyBorder="1" applyAlignment="1" applyProtection="0">
      <alignment horizontal="center" indent="0" shrinkToFit="0" textRotation="0" vertical="center" wrapText="0"/>
      <protection hidden="0" locked="1"/>
    </xf>
    <xf fontId="21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4" fillId="3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21" fillId="3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1" fillId="10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22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8" fillId="4" borderId="1" numFmtId="166" xfId="0" applyFont="1" applyBorder="1" applyAlignment="1" applyProtection="0">
      <alignment horizontal="center" indent="0" shrinkToFit="0" textRotation="0" vertical="center" wrapText="0"/>
      <protection hidden="0" locked="1"/>
    </xf>
    <xf fontId="19" fillId="4" borderId="1" numFmtId="167" xfId="0" applyFont="1" applyBorder="1" applyAlignment="1" applyProtection="0">
      <alignment horizontal="left" indent="0" shrinkToFit="0" textRotation="0" vertical="center" wrapText="1"/>
      <protection hidden="0" locked="1"/>
    </xf>
    <xf fontId="9" fillId="13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22" fillId="13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8" fillId="4" borderId="1" numFmtId="168" xfId="0" applyFont="1" applyBorder="1" applyAlignment="1" applyProtection="0">
      <alignment horizontal="center" indent="0" shrinkToFit="0" textRotation="0" vertical="center" wrapText="0"/>
      <protection hidden="0" locked="1"/>
    </xf>
    <xf fontId="19" fillId="4" borderId="3" numFmtId="167" xfId="0" applyFont="1" applyBorder="1" applyAlignment="1" applyProtection="0">
      <alignment horizontal="left" indent="0" shrinkToFit="0" textRotation="0" vertical="center" wrapText="1"/>
      <protection hidden="0" locked="1"/>
    </xf>
    <xf fontId="19" fillId="4" borderId="3" numFmtId="165" xfId="0" applyFont="1" applyBorder="1" applyAlignment="1" applyProtection="0">
      <alignment horizontal="left" indent="0" shrinkToFit="0" textRotation="0" vertical="center" wrapText="1"/>
      <protection hidden="0" locked="1"/>
    </xf>
    <xf fontId="23" fillId="2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6" fillId="9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6" fillId="9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18" fillId="4" borderId="1" numFmtId="169" xfId="0" applyFont="1" applyBorder="1" applyAlignment="1" applyProtection="0">
      <alignment horizontal="center" indent="0" shrinkToFit="0" textRotation="0" vertical="center" wrapText="0"/>
      <protection hidden="0" locked="1"/>
    </xf>
    <xf fontId="19" fillId="4" borderId="3" numFmtId="164" xfId="0" applyFont="1" applyBorder="1" applyAlignment="1" applyProtection="0">
      <alignment horizontal="left" indent="0" shrinkToFit="0" textRotation="0" vertical="center" wrapText="1"/>
      <protection hidden="0" locked="1"/>
    </xf>
    <xf fontId="8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4" fillId="5" borderId="1" numFmtId="170" xfId="0" applyFont="1" applyBorder="1" applyAlignment="1" applyProtection="0">
      <alignment horizontal="center" indent="0" shrinkToFit="0" textRotation="0" vertical="center" wrapText="0"/>
      <protection hidden="0" locked="1"/>
    </xf>
    <xf fontId="17" fillId="4" borderId="1" numFmtId="171" xfId="0" applyFont="1" applyBorder="1" applyAlignment="1" applyProtection="0">
      <alignment horizontal="center" indent="0" shrinkToFit="0" textRotation="0" vertical="center" wrapText="0"/>
      <protection hidden="0" locked="1"/>
    </xf>
    <xf fontId="17" fillId="4" borderId="1" numFmtId="172" xfId="0" applyFont="1" applyBorder="1" applyAlignment="1" applyProtection="0">
      <alignment horizontal="center" indent="0" shrinkToFit="0" textRotation="0" vertical="center" wrapText="0"/>
      <protection hidden="0" locked="1"/>
    </xf>
    <xf fontId="17" fillId="4" borderId="1" numFmtId="173" xfId="0" applyFont="1" applyBorder="1" applyAlignment="1" applyProtection="0">
      <alignment horizontal="center" indent="0" shrinkToFit="0" textRotation="0" vertical="center" wrapText="0"/>
      <protection hidden="0" locked="1"/>
    </xf>
    <xf fontId="8" fillId="3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4" fillId="3" borderId="1" numFmtId="170" xfId="0" applyFont="1" applyBorder="1" applyAlignment="1" applyProtection="0">
      <alignment horizontal="center" indent="0" shrinkToFit="0" textRotation="0" vertical="center" wrapText="0"/>
      <protection hidden="0" locked="1"/>
    </xf>
    <xf fontId="14" fillId="3" borderId="1" numFmtId="169" xfId="0" applyFont="1" applyBorder="1" applyAlignment="1" applyProtection="0">
      <alignment horizontal="center" indent="0" shrinkToFit="0" textRotation="0" vertical="center" wrapText="0"/>
      <protection hidden="0" locked="1"/>
    </xf>
    <xf fontId="14" fillId="5" borderId="1" numFmtId="169" xfId="0" applyFont="1" applyBorder="1" applyAlignment="1" applyProtection="0">
      <alignment horizontal="center" indent="0" shrinkToFit="0" textRotation="0" vertical="center" wrapText="0"/>
      <protection hidden="0" locked="1"/>
    </xf>
    <xf fontId="11" fillId="14" borderId="0" numFmtId="164" xfId="0" applyFont="1" applyBorder="1" applyAlignment="1" applyProtection="0">
      <alignment horizontal="left" indent="0" shrinkToFit="0" textRotation="0" vertical="center" wrapText="0"/>
      <protection hidden="0" locked="1"/>
    </xf>
    <xf fontId="6" fillId="15" borderId="1" numFmtId="164" xfId="0" applyFont="1" applyBorder="1" applyAlignment="1" applyProtection="0">
      <alignment horizontal="center" indent="0" shrinkToFit="0" textRotation="0" vertical="center" wrapText="1"/>
      <protection hidden="0" locked="1"/>
    </xf>
    <xf fontId="24" fillId="5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24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24" fillId="7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24" fillId="7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9" fillId="13" borderId="3" numFmtId="164" xfId="0" applyFont="1" applyBorder="1" applyAlignment="1" applyProtection="0">
      <alignment horizontal="left" indent="0" shrinkToFit="0" textRotation="0" vertical="center" wrapText="1"/>
      <protection hidden="0" locked="1"/>
    </xf>
    <xf fontId="9" fillId="5" borderId="3" numFmtId="164" xfId="0" applyFont="1" applyBorder="1" applyAlignment="1" applyProtection="0">
      <alignment horizontal="left" indent="0" shrinkToFit="0" textRotation="0" vertical="center" wrapText="1"/>
      <protection hidden="0" locked="1"/>
    </xf>
    <xf fontId="7" fillId="16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7" fillId="17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7" fillId="18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7" fillId="19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7" fillId="20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4" fillId="5" borderId="1" numFmtId="174" xfId="0" applyFont="1" applyBorder="1" applyAlignment="1" applyProtection="0">
      <alignment horizontal="center" indent="0" shrinkToFit="0" textRotation="0" vertical="center" wrapText="0"/>
      <protection hidden="0" locked="1"/>
    </xf>
    <xf fontId="14" fillId="5" borderId="1" numFmtId="175" xfId="0" applyFont="1" applyBorder="1" applyAlignment="1" applyProtection="0">
      <alignment horizontal="center" indent="0" shrinkToFit="0" textRotation="0" vertical="center" wrapText="0"/>
      <protection hidden="0" locked="1"/>
    </xf>
    <xf fontId="14" fillId="13" borderId="1" numFmtId="174" xfId="0" applyFont="1" applyBorder="1" applyAlignment="1" applyProtection="0">
      <alignment horizontal="center" indent="0" shrinkToFit="0" textRotation="0" vertical="center" wrapText="0"/>
      <protection hidden="0" locked="1"/>
    </xf>
    <xf fontId="14" fillId="13" borderId="1" numFmtId="175" xfId="0" applyFont="1" applyBorder="1" applyAlignment="1" applyProtection="0">
      <alignment horizontal="center" indent="0" shrinkToFit="0" textRotation="0" vertical="center" wrapText="0"/>
      <protection hidden="0" locked="1"/>
    </xf>
    <xf fontId="17" fillId="4" borderId="1" numFmtId="175" xfId="0" applyFont="1" applyBorder="1" applyAlignment="1" applyProtection="0">
      <alignment horizontal="center" indent="0" shrinkToFit="0" textRotation="0" vertical="center" wrapText="0"/>
      <protection hidden="0" locked="1"/>
    </xf>
    <xf fontId="20" fillId="4" borderId="1" numFmtId="165" xfId="0" applyFont="1" applyBorder="1" applyAlignment="1" applyProtection="0">
      <alignment horizontal="left" indent="0" shrinkToFit="0" textRotation="0" vertical="center" wrapText="1"/>
      <protection hidden="0" locked="1"/>
    </xf>
    <xf fontId="7" fillId="0" borderId="1" numFmtId="164" xfId="0" applyFont="1" applyBorder="1" applyAlignment="1" applyProtection="0">
      <alignment horizontal="right" indent="0" shrinkToFit="0" textRotation="0" vertical="center" wrapText="0"/>
      <protection hidden="0" locked="1"/>
    </xf>
    <xf fontId="25" fillId="6" borderId="1" numFmtId="165" xfId="0" applyFont="1" applyBorder="1" applyAlignment="1" applyProtection="0">
      <alignment horizontal="center" indent="0" shrinkToFit="0" textRotation="0" vertical="center" wrapText="0"/>
      <protection hidden="0" locked="1"/>
    </xf>
    <xf fontId="26" fillId="4" borderId="1" numFmtId="165" xfId="0" applyFont="1" applyBorder="1" applyAlignment="1" applyProtection="0">
      <alignment horizontal="center" indent="0" shrinkToFit="0" textRotation="0" vertical="center" wrapText="0"/>
      <protection hidden="0" locked="1"/>
    </xf>
    <xf fontId="25" fillId="6" borderId="1" numFmtId="176" xfId="0" applyFont="1" applyBorder="1" applyAlignment="1" applyProtection="0">
      <alignment horizontal="center" indent="0" shrinkToFit="0" textRotation="0" vertical="center" wrapText="0"/>
      <protection hidden="0" locked="1"/>
    </xf>
    <xf fontId="27" fillId="7" borderId="1" numFmtId="165" xfId="0" applyFont="1" applyBorder="1" applyAlignment="1" applyProtection="0">
      <alignment horizontal="center" indent="0" shrinkToFit="0" textRotation="0" vertical="center" wrapText="0"/>
      <protection hidden="0" locked="1"/>
    </xf>
    <xf fontId="25" fillId="6" borderId="1" numFmtId="168" xfId="0" applyFont="1" applyBorder="1" applyAlignment="1" applyProtection="0">
      <alignment horizontal="center" indent="0" shrinkToFit="0" textRotation="0" vertical="center" wrapText="0"/>
      <protection hidden="0" locked="1"/>
    </xf>
    <xf fontId="28" fillId="6" borderId="1" numFmtId="165" xfId="0" applyFont="1" applyBorder="1" applyAlignment="1" applyProtection="0">
      <alignment horizontal="center" indent="0" shrinkToFit="0" textRotation="0" vertical="center" wrapText="0"/>
      <protection hidden="0" locked="1"/>
    </xf>
    <xf fontId="25" fillId="6" borderId="1" numFmtId="170" xfId="0" applyFont="1" applyBorder="1" applyAlignment="1" applyProtection="0">
      <alignment horizontal="center" indent="0" shrinkToFit="0" textRotation="0" vertical="center" wrapText="0"/>
      <protection hidden="0" locked="1"/>
    </xf>
    <xf fontId="0" fillId="13" borderId="1" numFmtId="170" xfId="0" applyFont="0" applyBorder="1" applyAlignment="1" applyProtection="0">
      <alignment horizontal="center" indent="0" shrinkToFit="0" textRotation="0" vertical="center" wrapText="0"/>
      <protection hidden="0" locked="1"/>
    </xf>
    <xf fontId="29" fillId="3" borderId="1" numFmtId="166" xfId="0" applyFont="1" applyBorder="1" applyAlignment="1" applyProtection="0">
      <alignment horizontal="center" indent="0" shrinkToFit="0" textRotation="0" vertical="center" wrapText="0"/>
      <protection hidden="0" locked="1"/>
    </xf>
    <xf fontId="30" fillId="7" borderId="1" numFmtId="166" xfId="0" applyFont="1" applyBorder="1" applyAlignment="1" applyProtection="0">
      <alignment horizontal="center" indent="0" shrinkToFit="0" textRotation="0" vertical="center" wrapText="0"/>
      <protection hidden="0" locked="1"/>
    </xf>
    <xf fontId="11" fillId="2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0" fillId="2" borderId="1" numFmtId="164" xfId="0" applyFont="0" applyBorder="1" applyAlignment="0" applyProtection="0">
      <alignment horizontal="general" indent="0" shrinkToFit="0" textRotation="0" vertical="bottom" wrapText="0"/>
      <protection hidden="0" locked="1"/>
    </xf>
    <xf fontId="11" fillId="9" borderId="4" numFmtId="166" xfId="0" applyFont="1" applyBorder="1" applyAlignment="1" applyProtection="0">
      <alignment horizontal="center" indent="0" shrinkToFit="0" textRotation="0" vertical="center" wrapText="0"/>
      <protection hidden="0" locked="1"/>
    </xf>
    <xf fontId="16" fillId="3" borderId="1" numFmtId="174" xfId="0" applyFont="1" applyBorder="1" applyAlignment="1" applyProtection="0">
      <alignment horizontal="center" indent="0" shrinkToFit="0" textRotation="0" vertical="center" wrapText="0"/>
      <protection hidden="0" locked="1"/>
    </xf>
    <xf fontId="6" fillId="2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7" fillId="13" borderId="1" numFmtId="174" xfId="0" applyFont="1" applyBorder="1" applyAlignment="1" applyProtection="0">
      <alignment horizontal="center" indent="0" shrinkToFit="0" textRotation="0" vertical="center" wrapText="0"/>
      <protection hidden="0" locked="1"/>
    </xf>
    <xf fontId="6" fillId="10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6" fillId="8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7" fillId="13" borderId="1" numFmtId="175" xfId="0" applyFont="1" applyBorder="1" applyAlignment="1" applyProtection="0">
      <alignment horizontal="center" indent="0" shrinkToFit="0" textRotation="0" vertical="center" wrapText="0"/>
      <protection hidden="0" locked="1"/>
    </xf>
    <xf fontId="24" fillId="13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14" fillId="3" borderId="1" numFmtId="174" xfId="0" applyFont="1" applyBorder="1" applyAlignment="1" applyProtection="0">
      <alignment horizontal="center" indent="0" shrinkToFit="0" textRotation="0" vertical="center" wrapText="0"/>
      <protection hidden="0" locked="1"/>
    </xf>
    <xf fontId="6" fillId="11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6" fillId="14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7" fillId="5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6" fillId="9" borderId="1" numFmtId="174" xfId="0" applyFont="1" applyBorder="1" applyAlignment="1" applyProtection="0">
      <alignment horizontal="center" indent="0" shrinkToFit="0" textRotation="0" vertical="center" wrapText="0"/>
      <protection hidden="0" locked="1"/>
    </xf>
    <xf fontId="7" fillId="3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0" fillId="13" borderId="1" numFmtId="174" xfId="0" applyFont="0" applyBorder="1" applyAlignment="1" applyProtection="0">
      <alignment horizontal="center" indent="0" shrinkToFit="0" textRotation="0" vertical="center" wrapText="0"/>
      <protection hidden="0" locked="1"/>
    </xf>
    <xf fontId="0" fillId="13" borderId="1" numFmtId="175" xfId="0" applyFont="0" applyBorder="1" applyAlignment="1" applyProtection="0">
      <alignment horizontal="center" indent="0" shrinkToFit="0" textRotation="0" vertical="center" wrapText="0"/>
      <protection hidden="0" locked="1"/>
    </xf>
    <xf fontId="6" fillId="9" borderId="1" numFmtId="175" xfId="0" applyFont="1" applyBorder="1" applyAlignment="1" applyProtection="0">
      <alignment horizontal="center" indent="0" shrinkToFit="0" textRotation="0" vertical="center" wrapText="0"/>
      <protection hidden="0" locked="1"/>
    </xf>
    <xf fontId="0" fillId="13" borderId="1" numFmtId="164" xfId="0" applyFont="0" applyBorder="1" applyAlignment="1" applyProtection="0">
      <alignment horizontal="center" indent="0" shrinkToFit="0" textRotation="0" vertical="center" wrapText="0"/>
      <protection hidden="0" locked="1"/>
    </xf>
    <xf fontId="11" fillId="2" borderId="0" numFmtId="164" xfId="0" applyFont="1" applyBorder="0" applyAlignment="1" applyProtection="0">
      <alignment horizontal="general" indent="0" shrinkToFit="0" textRotation="0" vertical="bottom" wrapText="0"/>
      <protection hidden="0" locked="1"/>
    </xf>
    <xf fontId="11" fillId="2" borderId="1" numFmtId="165" xfId="0" applyFont="1" applyBorder="1" applyAlignment="1" applyProtection="0">
      <alignment horizontal="center" indent="0" shrinkToFit="0" textRotation="0" vertical="center" wrapText="0"/>
      <protection hidden="0" locked="1"/>
    </xf>
    <xf fontId="11" fillId="2" borderId="1" numFmtId="175" xfId="0" applyFont="1" applyBorder="1" applyAlignment="1" applyProtection="0">
      <alignment horizontal="center" indent="0" shrinkToFit="0" textRotation="0" vertical="center" wrapText="0"/>
      <protection hidden="0" locked="1"/>
    </xf>
    <xf fontId="11" fillId="21" borderId="0" numFmtId="164" xfId="0" applyFont="1" applyBorder="1" applyAlignment="1" applyProtection="0">
      <alignment horizontal="left" indent="0" shrinkToFit="0" textRotation="0" vertical="center" wrapText="0"/>
      <protection hidden="0" locked="1"/>
    </xf>
    <xf fontId="6" fillId="22" borderId="1" numFmtId="164" xfId="0" applyFont="1" applyBorder="1" applyAlignment="1" applyProtection="0">
      <alignment horizontal="center" indent="0" shrinkToFit="0" textRotation="0" vertical="center" wrapText="1"/>
      <protection hidden="0" locked="1"/>
    </xf>
    <xf fontId="0" fillId="5" borderId="1" numFmtId="167" xfId="0" applyFont="0" applyBorder="1" applyAlignment="1" applyProtection="0">
      <alignment horizontal="center" indent="0" shrinkToFit="0" textRotation="0" vertical="center" wrapText="0"/>
      <protection hidden="0" locked="1"/>
    </xf>
    <xf fontId="0" fillId="5" borderId="1" numFmtId="164" xfId="0" applyFont="0" applyBorder="1" applyAlignment="1" applyProtection="0">
      <alignment horizontal="left" indent="0" shrinkToFit="0" textRotation="0" vertical="center" wrapText="0"/>
      <protection hidden="0" locked="1"/>
    </xf>
    <xf fontId="0" fillId="23" borderId="1" numFmtId="167" xfId="0" applyFont="0" applyBorder="1" applyAlignment="1" applyProtection="0">
      <alignment horizontal="center" indent="0" shrinkToFit="0" textRotation="0" vertical="center" wrapText="0"/>
      <protection hidden="0" locked="1"/>
    </xf>
    <xf fontId="0" fillId="23" borderId="1" numFmtId="164" xfId="0" applyFont="0" applyBorder="1" applyAlignment="1" applyProtection="0">
      <alignment horizontal="left" indent="0" shrinkToFit="0" textRotation="0" vertical="center" wrapText="0"/>
      <protection hidden="0" locked="1"/>
    </xf>
    <xf fontId="34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34" fillId="7" borderId="1" numFmtId="167" xfId="0" applyFont="1" applyBorder="1" applyAlignment="1" applyProtection="0">
      <alignment horizontal="center" indent="0" shrinkToFit="0" textRotation="0" vertical="center" wrapText="0"/>
      <protection hidden="0" locked="1"/>
    </xf>
    <xf fontId="13" fillId="6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17" fillId="4" borderId="1" numFmtId="169" xfId="0" applyFont="1" applyBorder="1" applyAlignment="1" applyProtection="0">
      <alignment horizontal="left" indent="0" shrinkToFit="0" textRotation="0" vertical="center" wrapText="0"/>
      <protection hidden="0" locked="1"/>
    </xf>
    <xf fontId="9" fillId="7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17" fillId="4" borderId="1" numFmtId="168" xfId="0" applyFont="1" applyBorder="1" applyAlignment="1" applyProtection="0">
      <alignment horizontal="left" indent="0" shrinkToFit="0" textRotation="0" vertical="center" wrapText="0"/>
      <protection hidden="0" locked="1"/>
    </xf>
    <xf fontId="17" fillId="4" borderId="1" numFmtId="170" xfId="0" applyFont="1" applyBorder="1" applyAlignment="1" applyProtection="0">
      <alignment horizontal="left" indent="0" shrinkToFit="0" textRotation="0" vertical="center" wrapText="0"/>
      <protection hidden="0" locked="1"/>
    </xf>
    <xf fontId="17" fillId="4" borderId="1" numFmtId="176" xfId="0" applyFont="1" applyBorder="1" applyAlignment="1" applyProtection="0">
      <alignment horizontal="left" indent="0" shrinkToFit="0" textRotation="0" vertical="center" wrapText="0"/>
      <protection hidden="0" locked="1"/>
    </xf>
    <xf fontId="7" fillId="23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35" fillId="23" borderId="1" numFmtId="167" xfId="0" applyFont="1" applyBorder="1" applyAlignment="1" applyProtection="0">
      <alignment horizontal="left" indent="0" shrinkToFit="0" textRotation="0" vertical="center" wrapText="1"/>
      <protection hidden="0" locked="1"/>
    </xf>
    <xf fontId="9" fillId="23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9" fillId="23" borderId="3" numFmtId="164" xfId="0" applyFont="1" applyBorder="1" applyAlignment="1" applyProtection="0">
      <alignment horizontal="left" indent="0" shrinkToFit="0" textRotation="0" vertical="center" wrapText="1"/>
      <protection hidden="0" locked="1"/>
    </xf>
    <xf fontId="7" fillId="5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35" fillId="5" borderId="1" numFmtId="167" xfId="0" applyFont="1" applyBorder="1" applyAlignment="1" applyProtection="0">
      <alignment horizontal="left" indent="0" shrinkToFit="0" textRotation="0" vertical="center" wrapText="1"/>
      <protection hidden="0" locked="1"/>
    </xf>
    <xf fontId="35" fillId="23" borderId="1" numFmtId="167" xfId="0" applyFont="1" applyBorder="1" applyAlignment="1" applyProtection="0">
      <alignment horizontal="left" indent="0" shrinkToFit="0" textRotation="0" vertical="center" wrapText="1"/>
      <protection hidden="0" locked="1"/>
    </xf>
    <xf fontId="35" fillId="5" borderId="1" numFmtId="167" xfId="0" applyFont="1" applyBorder="1" applyAlignment="1" applyProtection="0">
      <alignment horizontal="left" indent="0" shrinkToFit="0" textRotation="0" vertical="center" wrapText="1"/>
      <protection hidden="0" locked="1"/>
    </xf>
    <xf fontId="14" fillId="5" borderId="1" numFmtId="177" xfId="0" applyFont="1" applyBorder="1" applyAlignment="1" applyProtection="0">
      <alignment horizontal="center" indent="0" shrinkToFit="0" textRotation="0" vertical="center" wrapText="0"/>
      <protection hidden="0" locked="1"/>
    </xf>
    <xf fontId="14" fillId="3" borderId="1" numFmtId="177" xfId="0" applyFont="1" applyBorder="1" applyAlignment="1" applyProtection="0">
      <alignment horizontal="center" indent="0" shrinkToFit="0" textRotation="0" vertical="center" wrapText="0"/>
      <protection hidden="0" locked="1"/>
    </xf>
    <xf fontId="24" fillId="7" borderId="1" numFmtId="177" xfId="0" applyFont="1" applyBorder="1" applyAlignment="1" applyProtection="0">
      <alignment horizontal="center" indent="0" shrinkToFit="0" textRotation="0" vertical="center" wrapText="0"/>
      <protection hidden="0" locked="1"/>
    </xf>
    <xf fontId="21" fillId="4" borderId="1" numFmtId="167" xfId="0" applyFont="1" applyBorder="1" applyAlignment="1" applyProtection="0">
      <alignment horizontal="left" indent="0" shrinkToFit="0" textRotation="0" vertical="center" wrapText="0"/>
      <protection hidden="0" locked="1"/>
    </xf>
    <xf fontId="18" fillId="4" borderId="1" numFmtId="178" xfId="0" applyFont="1" applyBorder="1" applyAlignment="1" applyProtection="0">
      <alignment horizontal="center" indent="0" shrinkToFit="0" textRotation="0" vertical="center" wrapText="0"/>
      <protection hidden="0" locked="1"/>
    </xf>
    <xf fontId="36" fillId="6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7" fillId="13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18" fillId="4" borderId="1" numFmtId="175" xfId="0" applyFont="1" applyBorder="1" applyAlignment="1" applyProtection="0">
      <alignment horizontal="center" indent="0" shrinkToFit="0" textRotation="0" vertical="center" wrapText="0"/>
      <protection hidden="0" locked="1"/>
    </xf>
    <xf fontId="18" fillId="4" borderId="1" numFmtId="179" xfId="0" applyFont="1" applyBorder="1" applyAlignment="1" applyProtection="0">
      <alignment horizontal="center" indent="0" shrinkToFit="0" textRotation="0" vertical="center" wrapText="0"/>
      <protection hidden="0" locked="1"/>
    </xf>
    <xf fontId="18" fillId="4" borderId="1" numFmtId="180" xfId="0" applyFont="1" applyBorder="1" applyAlignment="1" applyProtection="0">
      <alignment horizontal="center" indent="0" shrinkToFit="0" textRotation="0" vertical="center" wrapText="0"/>
      <protection hidden="0" locked="1"/>
    </xf>
    <xf fontId="17" fillId="4" borderId="1" numFmtId="169" xfId="0" applyFont="1" applyBorder="1" applyAlignment="1" applyProtection="0">
      <alignment horizontal="center" indent="0" shrinkToFit="0" textRotation="0" vertical="center" wrapText="0"/>
      <protection hidden="0" locked="1"/>
    </xf>
    <xf fontId="37" fillId="5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37" fillId="3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7" fillId="4" borderId="1" numFmtId="170" xfId="0" applyFont="1" applyBorder="1" applyAlignment="1" applyProtection="0">
      <alignment horizontal="center" indent="0" shrinkToFit="0" textRotation="0" vertical="center" wrapText="0"/>
      <protection hidden="0" locked="1"/>
    </xf>
    <xf fontId="19" fillId="4" borderId="1" numFmtId="181" xfId="0" applyFont="1" applyBorder="1" applyAlignment="1" applyProtection="0">
      <alignment horizontal="left" indent="0" shrinkToFit="0" textRotation="0" vertical="center" wrapText="1"/>
      <protection hidden="0" locked="1"/>
    </xf>
    <xf fontId="17" fillId="4" borderId="1" numFmtId="168" xfId="0" applyFont="1" applyBorder="1" applyAlignment="1" applyProtection="0">
      <alignment horizontal="center" indent="0" shrinkToFit="0" textRotation="0" vertical="center" wrapText="0"/>
      <protection hidden="0" locked="1"/>
    </xf>
    <xf fontId="12" fillId="8" borderId="0" numFmtId="164" xfId="0" applyFont="1" applyBorder="1" applyAlignment="1" applyProtection="0">
      <alignment horizontal="center" indent="0" shrinkToFit="0" textRotation="0" vertical="center" wrapText="0"/>
      <protection hidden="0" locked="1"/>
    </xf>
    <xf fontId="38" fillId="3" borderId="0" numFmtId="164" xfId="0" applyFont="1" applyBorder="1" applyAlignment="1" applyProtection="0">
      <alignment horizontal="left" indent="0" shrinkToFit="0" textRotation="0" vertical="center" wrapText="1"/>
      <protection hidden="0" locked="1"/>
    </xf>
    <xf fontId="7" fillId="4" borderId="1" numFmtId="164" xfId="0" applyFont="1" applyBorder="1" applyAlignment="1" applyProtection="0">
      <alignment horizontal="left" indent="0" shrinkToFit="0" textRotation="0" vertical="center" wrapText="0"/>
      <protection hidden="0" locked="1"/>
    </xf>
    <xf fontId="19" fillId="4" borderId="1" numFmtId="182" xfId="0" applyFont="1" applyBorder="1" applyAlignment="1" applyProtection="0">
      <alignment horizontal="left" indent="0" shrinkToFit="0" textRotation="0" vertical="center" wrapText="1"/>
      <protection hidden="0" locked="1"/>
    </xf>
    <xf fontId="39" fillId="23" borderId="0" numFmtId="164" xfId="0" applyFont="1" applyBorder="1" applyAlignment="1" applyProtection="0">
      <alignment horizontal="left" indent="0" shrinkToFit="0" textRotation="0" vertical="center" wrapText="1"/>
      <protection hidden="0"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/>
        <color rgb="FF004D6E"/>
      </font>
      <fill>
        <patternFill>
          <bgColor rgb="FFB9F2FF"/>
        </patternFill>
      </fill>
    </dxf>
    <dxf>
      <font>
        <b/>
        <color rgb="FF7D6608"/>
      </font>
      <fill>
        <patternFill>
          <bgColor rgb="FFFFF176"/>
        </patternFill>
      </fill>
    </dxf>
    <dxf>
      <font>
        <b/>
        <color rgb="FF5D4037"/>
      </font>
      <fill>
        <patternFill>
          <bgColor rgb="FFFFCCBC"/>
        </patternFill>
      </fill>
    </dxf>
    <dxf>
      <fill>
        <patternFill>
          <bgColor rgb="FFE8F5E9"/>
        </patternFill>
      </fill>
    </dxf>
    <dxf>
      <fill>
        <patternFill>
          <bgColor rgb="FFFFEBEE"/>
        </patternFill>
      </fill>
    </dxf>
    <dxf>
      <fill>
        <patternFill>
          <bgColor rgb="FFFFFDE7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theme" Target="theme/theme1.xml"/><Relationship  Id="rId17" Type="http://schemas.openxmlformats.org/officeDocument/2006/relationships/sharedStrings" Target="sharedStrings.xml"/><Relationship  Id="rId18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Vendas Mensais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'12-DASHBOARD'!B4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'12-DASHBOARD'!$B$5</c:f>
              <c:numCache>
                <c:formatCode>"R$"#,##0</c:formatCode>
                <c:ptCount val="1"/>
                <c:pt idx="0">
                  <c:v>87250</c:v>
                </c:pt>
              </c:numCache>
            </c:numRef>
          </c:val>
        </c:ser>
        <c:ser>
          <c:idx val="1"/>
          <c:order val="1"/>
          <c:tx>
            <c:strRef>
              <c:f>'12-DASHBOARD'!C4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'12-DASHBOARD'!$C$5</c:f>
              <c:numCache>
                <c:formatCode>"R$"#,##0</c:formatCode>
                <c:ptCount val="1"/>
                <c:pt idx="0">
                  <c:v>64780</c:v>
                </c:pt>
              </c:numCache>
            </c:numRef>
          </c:val>
        </c:ser>
        <c:ser>
          <c:idx val="2"/>
          <c:order val="2"/>
          <c:tx>
            <c:strRef>
              <c:f>'12-DASHBOARD'!D4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'12-DASHBOARD'!$D$5</c:f>
              <c:numCache>
                <c:formatCode>"R$"#,##0</c:formatCode>
                <c:ptCount val="1"/>
                <c:pt idx="0">
                  <c:v>59400</c:v>
                </c:pt>
              </c:numCache>
            </c:numRef>
          </c:val>
        </c:ser>
        <c:ser>
          <c:idx val="3"/>
          <c:order val="3"/>
          <c:tx>
            <c:strRef>
              <c:f>'12-DASHBOARD'!E4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'12-DASHBOARD'!$E$5</c:f>
              <c:numCache>
                <c:formatCode>"R$"#,##0</c:formatCode>
                <c:ptCount val="1"/>
                <c:pt idx="0">
                  <c:v>102300</c:v>
                </c:pt>
              </c:numCache>
            </c:numRef>
          </c:val>
        </c:ser>
        <c:ser>
          <c:idx val="4"/>
          <c:order val="4"/>
          <c:tx>
            <c:strRef>
              <c:f>'12-DASHBOARD'!F4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'12-DASHBOARD'!$F$5</c:f>
              <c:numCache>
                <c:formatCode>"R$"#,##0</c:formatCode>
                <c:ptCount val="1"/>
                <c:pt idx="0">
                  <c:v>95100</c:v>
                </c:pt>
              </c:numCache>
            </c:numRef>
          </c:val>
        </c:ser>
        <c:ser>
          <c:idx val="5"/>
          <c:order val="5"/>
          <c:tx>
            <c:strRef>
              <c:f>'12-DASHBOARD'!G4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'12-DASHBOARD'!$G$5</c:f>
              <c:numCache>
                <c:formatCode>"R$"#,##0</c:formatCode>
                <c:ptCount val="1"/>
                <c:pt idx="0">
                  <c:v>118500</c:v>
                </c:pt>
              </c:numCache>
            </c:numRef>
          </c:val>
        </c:ser>
        <c:ser>
          <c:idx val="6"/>
          <c:order val="6"/>
          <c:tx>
            <c:strRef>
              <c:f>'12-DASHBOARD'!B7</c:f>
              <c:strCache>
                <c:ptCount val="1"/>
                <c:pt idx="0">
                  <c:v>R$7,271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'12-DASHBOARD'!$B$8</c:f>
              <c:numCache>
                <c:formatCode>"R$"#,##0</c:formatCode>
                <c:ptCount val="1"/>
                <c:pt idx="0">
                  <c:v>80000</c:v>
                </c:pt>
              </c:numCache>
            </c:numRef>
          </c:val>
        </c:ser>
        <c:ser>
          <c:idx val="7"/>
          <c:order val="7"/>
          <c:tx>
            <c:strRef>
              <c:f>'12-DASHBOARD'!C7</c:f>
              <c:strCache>
                <c:ptCount val="1"/>
                <c:pt idx="0">
                  <c:v>R$6,478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'12-DASHBOARD'!$C$8</c:f>
              <c:numCache>
                <c:formatCode>"R$"#,##0</c:formatCode>
                <c:ptCount val="1"/>
                <c:pt idx="0">
                  <c:v>80000</c:v>
                </c:pt>
              </c:numCache>
            </c:numRef>
          </c:val>
        </c:ser>
        <c:ser>
          <c:idx val="8"/>
          <c:order val="8"/>
          <c:tx>
            <c:strRef>
              <c:f>'12-DASHBOARD'!D7</c:f>
              <c:strCache>
                <c:ptCount val="1"/>
                <c:pt idx="0">
                  <c:v>R$5,400</c:v>
                </c:pt>
              </c:strCache>
            </c:strRef>
          </c:tx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'12-DASHBOARD'!$D$8</c:f>
              <c:numCache>
                <c:formatCode>"R$"#,##0</c:formatCode>
                <c:ptCount val="1"/>
                <c:pt idx="0">
                  <c:v>80000</c:v>
                </c:pt>
              </c:numCache>
            </c:numRef>
          </c:val>
        </c:ser>
        <c:ser>
          <c:idx val="9"/>
          <c:order val="9"/>
          <c:tx>
            <c:strRef>
              <c:f>'12-DASHBOARD'!E7</c:f>
              <c:strCache>
                <c:ptCount val="1"/>
                <c:pt idx="0">
                  <c:v>R$7,307</c:v>
                </c:pt>
              </c:strCache>
            </c:strRef>
          </c:tx>
          <c:spPr>
            <a:solidFill>
              <a:srgbClr val="A99B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'12-DASHBOARD'!$E$8</c:f>
              <c:numCache>
                <c:formatCode>"R$"#,##0</c:formatCode>
                <c:ptCount val="1"/>
                <c:pt idx="0">
                  <c:v>100000</c:v>
                </c:pt>
              </c:numCache>
            </c:numRef>
          </c:val>
        </c:ser>
        <c:ser>
          <c:idx val="10"/>
          <c:order val="10"/>
          <c:tx>
            <c:strRef>
              <c:f>'12-DASHBOARD'!F7</c:f>
              <c:strCache>
                <c:ptCount val="1"/>
                <c:pt idx="0">
                  <c:v>R$7,315</c:v>
                </c:pt>
              </c:strCache>
            </c:strRef>
          </c:tx>
          <c:spPr>
            <a:solidFill>
              <a:srgbClr val="92C3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'12-DASHBOARD'!$F$8</c:f>
              <c:numCache>
                <c:formatCode>"R$"#,##0</c:formatCode>
                <c:ptCount val="1"/>
                <c:pt idx="0">
                  <c:v>100000</c:v>
                </c:pt>
              </c:numCache>
            </c:numRef>
          </c:val>
        </c:ser>
        <c:ser>
          <c:idx val="11"/>
          <c:order val="11"/>
          <c:tx>
            <c:strRef>
              <c:f>'12-DASHBOARD'!G7</c:f>
              <c:strCache>
                <c:ptCount val="1"/>
                <c:pt idx="0">
                  <c:v>R$7,900</c:v>
                </c:pt>
              </c:strCache>
            </c:strRef>
          </c:tx>
          <c:spPr>
            <a:solidFill>
              <a:srgbClr val="F8B5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'12-DASHBOARD'!$G$8</c:f>
              <c:numCache>
                <c:formatCode>"R$"#,##0</c:formatCode>
                <c:ptCount val="1"/>
                <c:pt idx="0">
                  <c:v>120000</c:v>
                </c:pt>
              </c:numCache>
            </c:numRef>
          </c:val>
        </c:ser>
        <c:gapWidth val="150"/>
        <c:overlap val="0"/>
        <c:axId val="89869020"/>
        <c:axId val="15756648"/>
      </c:barChart>
      <c:catAx>
        <c:axId val="898690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15756648"/>
        <c:crosses val="autoZero"/>
        <c:auto val="1"/>
        <c:lblAlgn val="ctr"/>
        <c:lblOffset val="100"/>
        <c:noMultiLvlLbl val="0"/>
      </c:catAx>
      <c:valAx>
        <c:axId val="15756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89869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20</xdr:row>
      <xdr:rowOff>0</xdr:rowOff>
    </xdr:from>
    <xdr:to>
      <xdr:col>6</xdr:col>
      <xdr:colOff>767879</xdr:colOff>
      <xdr:row>38</xdr:row>
      <xdr:rowOff>168120</xdr:rowOff>
    </xdr:to>
    <xdr:graphicFrame>
      <xdr:nvGraphicFramePr>
        <xdr:cNvPr id="0" name="Chart 1"/>
        <xdr:cNvGraphicFramePr>
          <a:graphicFrameLocks xmlns:a="http://schemas.openxmlformats.org/drawingml/2006/main"/>
        </xdr:cNvGraphicFramePr>
      </xdr:nvGraphicFramePr>
      <xdr:xfrm>
        <a:off x="0" y="5514840"/>
        <a:ext cx="6477120" cy="359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/>
        <a:cs typeface="Arial"/>
      </a:majorFont>
      <a:minorFont>
        <a:latin typeface="Calibri" pitchFamily="0" charset="1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</a:theme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4"/>
    <col collapsed="0" customWidth="1" hidden="0" min="2" max="2" outlineLevel="0" style="1" width="6"/>
    <col collapsed="0" customWidth="1" hidden="0" min="3" max="3" outlineLevel="0" style="1" width="36"/>
    <col collapsed="0" customWidth="1" hidden="0" min="4" max="4" outlineLevel="0" style="1" width="24"/>
    <col collapsed="0" customWidth="1" hidden="0" min="5" max="5" outlineLevel="0" style="1" width="18"/>
    <col collapsed="0" customWidth="1" hidden="0" min="6" max="6" outlineLevel="0" style="1" width="28"/>
  </cols>
  <sheetData>
    <row r="1" ht="36" customHeight="1">
      <c r="A1" s="2" t="s">
        <v>0</v>
      </c>
      <c r="B1" s="2"/>
      <c r="C1" s="2"/>
      <c r="D1" s="2"/>
      <c r="E1" s="2"/>
      <c r="F1" s="2"/>
    </row>
    <row r="2" ht="21.75" customHeight="1">
      <c r="A2" s="3" t="s">
        <v>1</v>
      </c>
      <c r="B2" s="3"/>
      <c r="C2" s="3"/>
      <c r="D2" s="3"/>
      <c r="E2" s="3"/>
      <c r="F2" s="3"/>
    </row>
    <row r="3" ht="27.75" customHeight="1">
      <c r="A3" s="4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19.5" customHeight="1">
      <c r="A4" s="5"/>
      <c r="B4" s="6">
        <v>1</v>
      </c>
      <c r="C4" s="7" t="s">
        <v>7</v>
      </c>
      <c r="D4" s="8" t="s">
        <v>8</v>
      </c>
      <c r="E4" s="9" t="s">
        <v>9</v>
      </c>
      <c r="F4" s="10" t="s">
        <v>10</v>
      </c>
    </row>
    <row r="5" ht="19.5" customHeight="1">
      <c r="A5" s="11"/>
      <c r="B5" s="12">
        <v>2</v>
      </c>
      <c r="C5" s="13" t="s">
        <v>11</v>
      </c>
      <c r="D5" s="14" t="s">
        <v>12</v>
      </c>
      <c r="E5" s="9" t="s">
        <v>9</v>
      </c>
      <c r="F5" s="15" t="s">
        <v>13</v>
      </c>
    </row>
    <row r="6" ht="19.5" customHeight="1">
      <c r="A6" s="5"/>
      <c r="B6" s="6">
        <v>3</v>
      </c>
      <c r="C6" s="7" t="s">
        <v>14</v>
      </c>
      <c r="D6" s="8" t="s">
        <v>15</v>
      </c>
      <c r="E6" s="16" t="s">
        <v>16</v>
      </c>
      <c r="F6" s="10" t="s">
        <v>17</v>
      </c>
    </row>
    <row r="7" ht="19.5" customHeight="1">
      <c r="A7" s="11"/>
      <c r="B7" s="12">
        <v>4</v>
      </c>
      <c r="C7" s="13" t="s">
        <v>18</v>
      </c>
      <c r="D7" s="14" t="s">
        <v>19</v>
      </c>
      <c r="E7" s="9" t="s">
        <v>9</v>
      </c>
      <c r="F7" s="15" t="s">
        <v>20</v>
      </c>
    </row>
    <row r="8" ht="19.5" customHeight="1">
      <c r="A8" s="5"/>
      <c r="B8" s="6">
        <v>5</v>
      </c>
      <c r="C8" s="7" t="s">
        <v>21</v>
      </c>
      <c r="D8" s="8" t="s">
        <v>22</v>
      </c>
      <c r="E8" s="9" t="s">
        <v>9</v>
      </c>
      <c r="F8" s="10" t="s">
        <v>23</v>
      </c>
    </row>
    <row r="9" ht="19.5" customHeight="1">
      <c r="A9" s="11"/>
      <c r="B9" s="12">
        <v>6</v>
      </c>
      <c r="C9" s="13" t="s">
        <v>24</v>
      </c>
      <c r="D9" s="14" t="s">
        <v>25</v>
      </c>
      <c r="E9" s="16" t="s">
        <v>16</v>
      </c>
      <c r="F9" s="15" t="s">
        <v>26</v>
      </c>
    </row>
    <row r="10" ht="19.5" customHeight="1">
      <c r="A10" s="5"/>
      <c r="B10" s="6">
        <v>7</v>
      </c>
      <c r="C10" s="7" t="s">
        <v>27</v>
      </c>
      <c r="D10" s="8" t="s">
        <v>28</v>
      </c>
      <c r="E10" s="9" t="s">
        <v>9</v>
      </c>
      <c r="F10" s="10" t="s">
        <v>29</v>
      </c>
    </row>
    <row r="11" ht="19.5" customHeight="1">
      <c r="A11" s="11"/>
      <c r="B11" s="12">
        <v>8</v>
      </c>
      <c r="C11" s="13" t="s">
        <v>30</v>
      </c>
      <c r="D11" s="14" t="s">
        <v>31</v>
      </c>
      <c r="E11" s="9" t="s">
        <v>9</v>
      </c>
      <c r="F11" s="15" t="s">
        <v>32</v>
      </c>
    </row>
    <row r="12" ht="19.5" customHeight="1">
      <c r="A12" s="5"/>
      <c r="B12" s="6">
        <v>9</v>
      </c>
      <c r="C12" s="7" t="s">
        <v>33</v>
      </c>
      <c r="D12" s="8" t="s">
        <v>34</v>
      </c>
      <c r="E12" s="16" t="s">
        <v>16</v>
      </c>
      <c r="F12" s="10" t="s">
        <v>35</v>
      </c>
    </row>
    <row r="13" ht="19.5" customHeight="1">
      <c r="A13" s="11"/>
      <c r="B13" s="12">
        <v>10</v>
      </c>
      <c r="C13" s="13" t="s">
        <v>36</v>
      </c>
      <c r="D13" s="14" t="s">
        <v>37</v>
      </c>
      <c r="E13" s="17" t="s">
        <v>38</v>
      </c>
      <c r="F13" s="15" t="s">
        <v>39</v>
      </c>
    </row>
    <row r="14" ht="19.5" customHeight="1">
      <c r="A14" s="5"/>
      <c r="B14" s="6">
        <v>11</v>
      </c>
      <c r="C14" s="7" t="s">
        <v>40</v>
      </c>
      <c r="D14" s="8" t="s">
        <v>15</v>
      </c>
      <c r="E14" s="17" t="s">
        <v>38</v>
      </c>
      <c r="F14" s="10" t="s">
        <v>41</v>
      </c>
    </row>
    <row r="15" ht="19.5" customHeight="1">
      <c r="A15" s="11"/>
      <c r="B15" s="12">
        <v>12</v>
      </c>
      <c r="C15" s="13" t="s">
        <v>42</v>
      </c>
      <c r="D15" s="14" t="s">
        <v>43</v>
      </c>
      <c r="E15" s="16" t="s">
        <v>16</v>
      </c>
      <c r="F15" s="15" t="s">
        <v>44</v>
      </c>
    </row>
    <row r="16" ht="19.5" customHeight="1">
      <c r="A16" s="5"/>
      <c r="B16" s="6">
        <v>13</v>
      </c>
      <c r="C16" s="7" t="s">
        <v>45</v>
      </c>
      <c r="D16" s="8" t="s">
        <v>46</v>
      </c>
      <c r="E16" s="16" t="s">
        <v>16</v>
      </c>
      <c r="F16" s="10" t="s">
        <v>47</v>
      </c>
    </row>
    <row r="17" ht="19.5" customHeight="1">
      <c r="A17" s="11"/>
      <c r="B17" s="12">
        <v>14</v>
      </c>
      <c r="C17" s="13" t="s">
        <v>48</v>
      </c>
      <c r="D17" s="14" t="s">
        <v>49</v>
      </c>
      <c r="E17" s="17" t="s">
        <v>38</v>
      </c>
      <c r="F17" s="15" t="s">
        <v>50</v>
      </c>
    </row>
    <row r="18" ht="19.5" customHeight="1">
      <c r="A18" s="5"/>
      <c r="B18" s="6">
        <v>15</v>
      </c>
      <c r="C18" s="7" t="s">
        <v>51</v>
      </c>
      <c r="D18" s="8" t="s">
        <v>52</v>
      </c>
      <c r="E18" s="16" t="s">
        <v>16</v>
      </c>
      <c r="F18" s="10" t="s">
        <v>53</v>
      </c>
    </row>
    <row r="19" ht="19.5" customHeight="1">
      <c r="A19" s="11"/>
      <c r="B19" s="12">
        <v>16</v>
      </c>
      <c r="C19" s="13" t="s">
        <v>54</v>
      </c>
      <c r="D19" s="14" t="s">
        <v>15</v>
      </c>
      <c r="E19" s="17" t="s">
        <v>38</v>
      </c>
      <c r="F19" s="15" t="s">
        <v>55</v>
      </c>
    </row>
    <row r="20" ht="19.5" customHeight="1">
      <c r="A20" s="5"/>
      <c r="B20" s="6">
        <v>17</v>
      </c>
      <c r="C20" s="7" t="s">
        <v>56</v>
      </c>
      <c r="D20" s="8" t="s">
        <v>25</v>
      </c>
      <c r="E20" s="9" t="s">
        <v>9</v>
      </c>
      <c r="F20" s="10" t="s">
        <v>57</v>
      </c>
    </row>
    <row r="21" ht="19.5" customHeight="1">
      <c r="A21" s="11"/>
      <c r="B21" s="12">
        <v>18</v>
      </c>
      <c r="C21" s="13" t="s">
        <v>58</v>
      </c>
      <c r="D21" s="14" t="s">
        <v>59</v>
      </c>
      <c r="E21" s="9" t="s">
        <v>9</v>
      </c>
      <c r="F21" s="15" t="s">
        <v>60</v>
      </c>
    </row>
    <row r="22" ht="19.5" customHeight="1">
      <c r="A22" s="5"/>
      <c r="B22" s="6">
        <v>19</v>
      </c>
      <c r="C22" s="7" t="s">
        <v>61</v>
      </c>
      <c r="D22" s="8" t="s">
        <v>62</v>
      </c>
      <c r="E22" s="16" t="s">
        <v>16</v>
      </c>
      <c r="F22" s="10" t="s">
        <v>63</v>
      </c>
    </row>
    <row r="23" ht="19.5" customHeight="1">
      <c r="A23" s="11"/>
      <c r="B23" s="12">
        <v>20</v>
      </c>
      <c r="C23" s="13" t="s">
        <v>64</v>
      </c>
      <c r="D23" s="14" t="s">
        <v>65</v>
      </c>
      <c r="E23" s="17" t="s">
        <v>38</v>
      </c>
      <c r="F23" s="15" t="s">
        <v>66</v>
      </c>
    </row>
    <row r="25" ht="7.5" customHeight="1">
      <c r="A25" s="18" t="s">
        <v>67</v>
      </c>
      <c r="B25" s="18"/>
      <c r="C25" s="18"/>
      <c r="D25" s="18"/>
      <c r="E25" s="18"/>
      <c r="F25" s="18"/>
    </row>
    <row r="26" ht="21.75" customHeight="1">
      <c r="A26" s="19" t="s">
        <v>68</v>
      </c>
      <c r="B26" s="19"/>
      <c r="C26" s="19"/>
      <c r="D26" s="19"/>
      <c r="E26" s="19"/>
      <c r="F26" s="19"/>
    </row>
    <row r="27" ht="21.75" customHeight="1">
      <c r="A27" s="19"/>
      <c r="B27" s="19"/>
      <c r="C27" s="19"/>
      <c r="D27" s="19"/>
      <c r="E27" s="19"/>
      <c r="F27" s="19"/>
    </row>
    <row r="28" ht="21.75" customHeight="1">
      <c r="A28" s="19"/>
      <c r="B28" s="19"/>
      <c r="C28" s="19"/>
      <c r="D28" s="19"/>
      <c r="E28" s="19"/>
      <c r="F28" s="19"/>
    </row>
  </sheetData>
  <mergeCells count="4">
    <mergeCell ref="A1:F1"/>
    <mergeCell ref="A2:F2"/>
    <mergeCell ref="A25:F25"/>
    <mergeCell ref="A26:F28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16"/>
    <col collapsed="0" customWidth="1" hidden="0" min="2" max="2" outlineLevel="0" style="1" width="38"/>
    <col collapsed="0" customWidth="1" hidden="0" min="3" max="3" outlineLevel="0" style="1" width="42"/>
    <col collapsed="0" customWidth="1" hidden="0" min="4" max="5" outlineLevel="0" style="1" width="14"/>
    <col collapsed="0" customWidth="1" hidden="0" min="6" max="6" outlineLevel="0" style="1" width="16"/>
    <col collapsed="0" customWidth="1" hidden="0" min="7" max="8" outlineLevel="0" style="1" width="22"/>
  </cols>
  <sheetData>
    <row r="1" ht="36" customHeight="1">
      <c r="A1" s="20" t="s">
        <v>69</v>
      </c>
      <c r="B1" s="20"/>
      <c r="C1" s="20"/>
      <c r="D1" s="20"/>
      <c r="E1" s="20"/>
      <c r="F1" s="20"/>
      <c r="G1" s="20"/>
      <c r="H1" s="20"/>
    </row>
    <row r="2" ht="36" customHeight="1">
      <c r="A2" s="21" t="s">
        <v>70</v>
      </c>
      <c r="B2" s="21"/>
      <c r="C2" s="21"/>
      <c r="D2" s="21"/>
      <c r="E2" s="21"/>
      <c r="F2" s="21"/>
      <c r="G2" s="21"/>
      <c r="H2" s="21"/>
    </row>
    <row r="3" ht="24" customHeight="1">
      <c r="A3" s="22" t="s">
        <v>71</v>
      </c>
      <c r="B3" s="22"/>
      <c r="C3" s="22"/>
      <c r="D3" s="22"/>
      <c r="E3" s="22"/>
      <c r="F3" s="22"/>
      <c r="G3" s="22"/>
      <c r="H3" s="22"/>
    </row>
    <row r="4" ht="27.75" customHeight="1">
      <c r="A4" s="4" t="s">
        <v>72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</row>
    <row r="5" ht="18" customHeight="1">
      <c r="A5" s="14" t="s">
        <v>78</v>
      </c>
      <c r="B5" s="15" t="s">
        <v>79</v>
      </c>
      <c r="C5" s="14" t="s">
        <v>80</v>
      </c>
      <c r="D5" s="23">
        <v>5200</v>
      </c>
      <c r="E5" s="14">
        <v>850</v>
      </c>
      <c r="F5" s="14" t="s">
        <v>81</v>
      </c>
      <c r="H5" s="24" t="s">
        <v>82</v>
      </c>
    </row>
    <row r="6" ht="18" customHeight="1">
      <c r="A6" s="8" t="s">
        <v>83</v>
      </c>
      <c r="B6" s="10" t="s">
        <v>84</v>
      </c>
      <c r="C6" s="8" t="s">
        <v>80</v>
      </c>
      <c r="D6" s="25">
        <v>9800</v>
      </c>
      <c r="E6" s="8">
        <v>1500</v>
      </c>
      <c r="F6" s="8" t="s">
        <v>85</v>
      </c>
      <c r="H6" s="26">
        <f>AVERAGE(D5:D12)</f>
        <v>7162.5</v>
      </c>
    </row>
    <row r="7" ht="18" customHeight="1">
      <c r="A7" s="14" t="s">
        <v>86</v>
      </c>
      <c r="B7" s="15" t="s">
        <v>87</v>
      </c>
      <c r="C7" s="14" t="s">
        <v>88</v>
      </c>
      <c r="D7" s="23">
        <v>2100</v>
      </c>
      <c r="E7" s="14">
        <v>400</v>
      </c>
      <c r="F7" s="14" t="s">
        <v>89</v>
      </c>
    </row>
    <row r="8" ht="18" customHeight="1">
      <c r="A8" s="8" t="s">
        <v>90</v>
      </c>
      <c r="B8" s="10" t="s">
        <v>91</v>
      </c>
      <c r="C8" s="8" t="s">
        <v>15</v>
      </c>
      <c r="D8" s="25">
        <v>6400</v>
      </c>
      <c r="E8" s="8">
        <v>950</v>
      </c>
      <c r="F8" s="8" t="s">
        <v>81</v>
      </c>
    </row>
    <row r="9" ht="18" customHeight="1">
      <c r="A9" s="14" t="s">
        <v>92</v>
      </c>
      <c r="B9" s="15" t="s">
        <v>93</v>
      </c>
      <c r="C9" s="14" t="s">
        <v>15</v>
      </c>
      <c r="D9" s="23">
        <v>8500</v>
      </c>
      <c r="E9" s="14">
        <v>1200</v>
      </c>
      <c r="F9" s="14" t="s">
        <v>94</v>
      </c>
    </row>
    <row r="10" ht="18" customHeight="1">
      <c r="A10" s="8" t="s">
        <v>95</v>
      </c>
      <c r="B10" s="10" t="s">
        <v>96</v>
      </c>
      <c r="C10" s="8" t="s">
        <v>97</v>
      </c>
      <c r="D10" s="25">
        <v>7800</v>
      </c>
      <c r="E10" s="8">
        <v>1100</v>
      </c>
      <c r="F10" s="8" t="s">
        <v>81</v>
      </c>
    </row>
    <row r="11" ht="18" customHeight="1">
      <c r="A11" s="14" t="s">
        <v>98</v>
      </c>
      <c r="B11" s="15" t="s">
        <v>99</v>
      </c>
      <c r="C11" s="14" t="s">
        <v>97</v>
      </c>
      <c r="D11" s="23">
        <v>12000</v>
      </c>
      <c r="E11" s="14">
        <v>1800</v>
      </c>
      <c r="F11" s="14" t="s">
        <v>85</v>
      </c>
    </row>
    <row r="12" ht="18" customHeight="1">
      <c r="A12" s="8" t="s">
        <v>100</v>
      </c>
      <c r="B12" s="10" t="s">
        <v>101</v>
      </c>
      <c r="C12" s="8" t="s">
        <v>102</v>
      </c>
      <c r="D12" s="25">
        <v>5500</v>
      </c>
      <c r="E12" s="8">
        <v>800</v>
      </c>
      <c r="F12" s="8" t="s">
        <v>81</v>
      </c>
    </row>
    <row r="14" ht="24" customHeight="1">
      <c r="A14" s="27" t="s">
        <v>103</v>
      </c>
      <c r="B14" s="27"/>
      <c r="C14" s="27"/>
      <c r="D14" s="27"/>
      <c r="E14" s="27"/>
      <c r="F14" s="27"/>
      <c r="G14" s="27"/>
      <c r="H14" s="27"/>
    </row>
    <row r="15" ht="27.75" customHeight="1">
      <c r="A15" s="28" t="s">
        <v>104</v>
      </c>
      <c r="B15" s="28" t="s">
        <v>105</v>
      </c>
      <c r="C15" s="28" t="s">
        <v>106</v>
      </c>
      <c r="D15" s="28" t="s">
        <v>107</v>
      </c>
      <c r="E15" s="28" t="s">
        <v>108</v>
      </c>
      <c r="F15" s="28" t="s">
        <v>109</v>
      </c>
      <c r="G15" s="28" t="s">
        <v>110</v>
      </c>
      <c r="H15" s="28" t="s">
        <v>111</v>
      </c>
    </row>
    <row r="16" ht="18" customHeight="1">
      <c r="A16" s="8">
        <v>1</v>
      </c>
      <c r="B16" s="10" t="s">
        <v>112</v>
      </c>
      <c r="C16" s="29" t="s">
        <v>83</v>
      </c>
      <c r="D16" s="30" t="str">
        <f>IFERROR(VLOOKUP(C16,$A$5:$F$12,2,0),"Não encontrado")</f>
        <v xml:space="preserve">Gerente de RH</v>
      </c>
      <c r="E16" s="31">
        <f>IFERROR(VLOOKUP(C16,$A$5:$F$12,4,0),0)</f>
        <v>9800</v>
      </c>
      <c r="F16" s="31">
        <f>IFERROR(VLOOKUP(C16,$A$5:$F$12,5,0),0)</f>
        <v>1500</v>
      </c>
      <c r="G16" s="32" t="str">
        <f>IF(E16=0,"Sem dados",IF(E16&gt;$H$6,"⬆ Acima da média",IF(E16=$H$6,"➡ Na média","⬇ Abaixo da média")))</f>
        <v xml:space="preserve">⬆ Acima da média</v>
      </c>
      <c r="H16" s="33" t="s">
        <v>113</v>
      </c>
    </row>
    <row r="17" ht="18" customHeight="1">
      <c r="A17" s="14">
        <v>2</v>
      </c>
      <c r="B17" s="15" t="s">
        <v>114</v>
      </c>
      <c r="C17" s="29" t="s">
        <v>90</v>
      </c>
      <c r="D17" s="30" t="str">
        <f>IFERROR(VLOOKUP(C17,$A$5:$F$12,2,0),"Não encontrado")</f>
        <v xml:space="preserve">Analista Financeiro</v>
      </c>
      <c r="E17" s="31">
        <f>IFERROR(VLOOKUP(C17,$A$5:$F$12,4,0),0)</f>
        <v>6400</v>
      </c>
      <c r="F17" s="31">
        <f>IFERROR(VLOOKUP(C17,$A$5:$F$12,5,0),0)</f>
        <v>950</v>
      </c>
      <c r="G17" s="32" t="str">
        <f>IF(E17=0,"Sem dados",IF(E17&gt;$H$6,"⬆ Acima da média",IF(E17=$H$6,"➡ Na média","⬇ Abaixo da média")))</f>
        <v xml:space="preserve">⬇ Abaixo da média</v>
      </c>
      <c r="H17" s="33" t="s">
        <v>115</v>
      </c>
    </row>
    <row r="18" ht="18" customHeight="1">
      <c r="A18" s="8">
        <v>3</v>
      </c>
      <c r="B18" s="10" t="s">
        <v>116</v>
      </c>
      <c r="C18" s="29" t="s">
        <v>86</v>
      </c>
      <c r="D18" s="30" t="str">
        <f>IFERROR(VLOOKUP(C18,$A$5:$F$12,2,0),"Não encontrado")</f>
        <v xml:space="preserve">Auxiliar Adm.</v>
      </c>
      <c r="E18" s="31">
        <f>IFERROR(VLOOKUP(C18,$A$5:$F$12,4,0),0)</f>
        <v>2100</v>
      </c>
      <c r="F18" s="31">
        <f>IFERROR(VLOOKUP(C18,$A$5:$F$12,5,0),0)</f>
        <v>400</v>
      </c>
      <c r="G18" s="32" t="str">
        <f>IF(E18=0,"Sem dados",IF(E18&gt;$H$6,"⬆ Acima da média",IF(E18=$H$6,"➡ Na média","⬇ Abaixo da média")))</f>
        <v xml:space="preserve">⬇ Abaixo da média</v>
      </c>
      <c r="H18" s="33" t="s">
        <v>117</v>
      </c>
    </row>
    <row r="19" ht="18" customHeight="1">
      <c r="A19" s="14">
        <v>4</v>
      </c>
      <c r="B19" s="15" t="s">
        <v>118</v>
      </c>
      <c r="C19" s="29" t="s">
        <v>92</v>
      </c>
      <c r="D19" s="30" t="str">
        <f>IFERROR(VLOOKUP(C19,$A$5:$F$12,2,0),"Não encontrado")</f>
        <v xml:space="preserve">Coordenador Financeiro</v>
      </c>
      <c r="E19" s="31">
        <f>IFERROR(VLOOKUP(C19,$A$5:$F$12,4,0),0)</f>
        <v>8500</v>
      </c>
      <c r="F19" s="31">
        <f>IFERROR(VLOOKUP(C19,$A$5:$F$12,5,0),0)</f>
        <v>1200</v>
      </c>
      <c r="G19" s="32" t="str">
        <f>IF(E19=0,"Sem dados",IF(E19&gt;$H$6,"⬆ Acima da média",IF(E19=$H$6,"➡ Na média","⬇ Abaixo da média")))</f>
        <v xml:space="preserve">⬆ Acima da média</v>
      </c>
      <c r="H19" s="33" t="s">
        <v>119</v>
      </c>
    </row>
    <row r="20" ht="18" customHeight="1">
      <c r="A20" s="8">
        <v>5</v>
      </c>
      <c r="B20" s="10" t="s">
        <v>120</v>
      </c>
      <c r="C20" s="29" t="s">
        <v>95</v>
      </c>
      <c r="D20" s="30" t="str">
        <f>IFERROR(VLOOKUP(C20,$A$5:$F$12,2,0),"Não encontrado")</f>
        <v xml:space="preserve">Dev. de Sistemas</v>
      </c>
      <c r="E20" s="31">
        <f>IFERROR(VLOOKUP(C20,$A$5:$F$12,4,0),0)</f>
        <v>7800</v>
      </c>
      <c r="F20" s="31">
        <f>IFERROR(VLOOKUP(C20,$A$5:$F$12,5,0),0)</f>
        <v>1100</v>
      </c>
      <c r="G20" s="32" t="str">
        <f>IF(E20=0,"Sem dados",IF(E20&gt;$H$6,"⬆ Acima da média",IF(E20=$H$6,"➡ Na média","⬇ Abaixo da média")))</f>
        <v xml:space="preserve">⬆ Acima da média</v>
      </c>
      <c r="H20" s="33" t="s">
        <v>121</v>
      </c>
    </row>
    <row r="21" ht="18" customHeight="1">
      <c r="A21" s="14">
        <v>6</v>
      </c>
      <c r="B21" s="15" t="s">
        <v>122</v>
      </c>
      <c r="C21" s="29" t="s">
        <v>100</v>
      </c>
      <c r="D21" s="30" t="str">
        <f>IFERROR(VLOOKUP(C21,$A$5:$F$12,2,0),"Não encontrado")</f>
        <v xml:space="preserve">Analista de Marketing</v>
      </c>
      <c r="E21" s="31">
        <f>IFERROR(VLOOKUP(C21,$A$5:$F$12,4,0),0)</f>
        <v>5500</v>
      </c>
      <c r="F21" s="31">
        <f>IFERROR(VLOOKUP(C21,$A$5:$F$12,5,0),0)</f>
        <v>800</v>
      </c>
      <c r="G21" s="32" t="str">
        <f>IF(E21=0,"Sem dados",IF(E21&gt;$H$6,"⬆ Acima da média",IF(E21=$H$6,"➡ Na média","⬇ Abaixo da média")))</f>
        <v xml:space="preserve">⬇ Abaixo da média</v>
      </c>
      <c r="H21" s="33" t="s">
        <v>123</v>
      </c>
    </row>
    <row r="22" ht="18" customHeight="1">
      <c r="A22" s="8">
        <v>7</v>
      </c>
      <c r="B22" s="10" t="s">
        <v>124</v>
      </c>
      <c r="C22" s="29" t="s">
        <v>98</v>
      </c>
      <c r="D22" s="30" t="str">
        <f>IFERROR(VLOOKUP(C22,$A$5:$F$12,2,0),"Não encontrado")</f>
        <v xml:space="preserve">Gerente de TI</v>
      </c>
      <c r="E22" s="31">
        <f>IFERROR(VLOOKUP(C22,$A$5:$F$12,4,0),0)</f>
        <v>12000</v>
      </c>
      <c r="F22" s="31">
        <f>IFERROR(VLOOKUP(C22,$A$5:$F$12,5,0),0)</f>
        <v>1800</v>
      </c>
      <c r="G22" s="32" t="str">
        <f>IF(E22=0,"Sem dados",IF(E22&gt;$H$6,"⬆ Acima da média",IF(E22=$H$6,"➡ Na média","⬇ Abaixo da média")))</f>
        <v xml:space="preserve">⬆ Acima da média</v>
      </c>
      <c r="H22" s="33" t="s">
        <v>125</v>
      </c>
    </row>
    <row r="23" ht="18" customHeight="1">
      <c r="A23" s="14">
        <v>8</v>
      </c>
      <c r="B23" s="15" t="s">
        <v>126</v>
      </c>
      <c r="C23" s="29" t="s">
        <v>78</v>
      </c>
      <c r="D23" s="30" t="str">
        <f>IFERROR(VLOOKUP(C23,$A$5:$F$12,2,0),"Não encontrado")</f>
        <v xml:space="preserve">Analista de RH</v>
      </c>
      <c r="E23" s="31">
        <f>IFERROR(VLOOKUP(C23,$A$5:$F$12,4,0),0)</f>
        <v>5200</v>
      </c>
      <c r="F23" s="31">
        <f>IFERROR(VLOOKUP(C23,$A$5:$F$12,5,0),0)</f>
        <v>850</v>
      </c>
      <c r="G23" s="32" t="str">
        <f>IF(E23=0,"Sem dados",IF(E23&gt;$H$6,"⬆ Acima da média",IF(E23=$H$6,"➡ Na média","⬇ Abaixo da média")))</f>
        <v xml:space="preserve">⬇ Abaixo da média</v>
      </c>
      <c r="H23" s="33" t="s">
        <v>127</v>
      </c>
    </row>
    <row r="25" ht="24" customHeight="1">
      <c r="A25" s="34" t="s">
        <v>128</v>
      </c>
      <c r="B25" s="34"/>
      <c r="C25" s="34"/>
      <c r="D25" s="34"/>
      <c r="E25" s="34"/>
      <c r="F25" s="34"/>
      <c r="G25" s="34"/>
      <c r="H25" s="34"/>
    </row>
    <row r="26" ht="27.75" customHeight="1">
      <c r="A26" s="35" t="s">
        <v>129</v>
      </c>
      <c r="B26" s="35" t="s">
        <v>130</v>
      </c>
      <c r="C26" s="35" t="s">
        <v>131</v>
      </c>
    </row>
    <row r="27" ht="31.5" customHeight="1">
      <c r="A27" s="36" t="s">
        <v>132</v>
      </c>
      <c r="B27" s="37" t="str">
        <f>IFERROR(VLOOKUP(C16,$A$5:$F$12,2,0),"")</f>
        <v xml:space="preserve">Gerente de RH</v>
      </c>
      <c r="C27" s="36" t="s">
        <v>133</v>
      </c>
    </row>
    <row r="28" ht="31.5" customHeight="1">
      <c r="A28" s="38" t="s">
        <v>134</v>
      </c>
      <c r="B28" s="37">
        <f>IFERROR(VLOOKUP(C16,$A$5:$F$12,4,0),0)</f>
        <v>9800</v>
      </c>
      <c r="C28" s="38" t="s">
        <v>135</v>
      </c>
    </row>
    <row r="29" ht="31.5" customHeight="1">
      <c r="A29" s="36" t="s">
        <v>136</v>
      </c>
      <c r="B29" s="37">
        <f>IFERROR(VLOOKUP(C16,$A$5:$F$12,5,0),0)</f>
        <v>1500</v>
      </c>
      <c r="C29" s="36" t="s">
        <v>137</v>
      </c>
    </row>
    <row r="30" ht="31.5" customHeight="1">
      <c r="A30" s="38" t="s">
        <v>138</v>
      </c>
      <c r="B30" s="37" t="str">
        <f>IF(E16="","",IF(E16&lt;$H$6,"Abaixo da média",IF(E16=$H$6,"Na média","Acima da média")))</f>
        <v xml:space="preserve">Acima da média</v>
      </c>
      <c r="C30" s="38" t="s">
        <v>139</v>
      </c>
    </row>
  </sheetData>
  <mergeCells count="5">
    <mergeCell ref="A1:H1"/>
    <mergeCell ref="A2:H2"/>
    <mergeCell ref="A3:H3"/>
    <mergeCell ref="A14:H14"/>
    <mergeCell ref="A25:H25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18"/>
    <col collapsed="0" customWidth="1" hidden="0" min="3" max="4" outlineLevel="0" style="1" width="14"/>
    <col collapsed="0" customWidth="1" hidden="0" min="5" max="6" outlineLevel="0" style="1" width="12"/>
    <col collapsed="0" customWidth="1" hidden="0" min="7" max="8" outlineLevel="0" style="1" width="14"/>
    <col collapsed="0" customWidth="1" hidden="0" min="9" max="9" outlineLevel="0" style="1" width="22"/>
  </cols>
  <sheetData>
    <row r="1" ht="36" customHeight="1">
      <c r="A1" s="20" t="s">
        <v>140</v>
      </c>
      <c r="B1" s="20"/>
      <c r="C1" s="20"/>
      <c r="D1" s="20"/>
      <c r="E1" s="20"/>
      <c r="F1" s="20"/>
      <c r="G1" s="20"/>
      <c r="H1" s="20"/>
      <c r="I1" s="20"/>
    </row>
    <row r="2" ht="36" customHeight="1">
      <c r="A2" s="21" t="s">
        <v>141</v>
      </c>
      <c r="B2" s="21"/>
      <c r="C2" s="21"/>
      <c r="D2" s="21"/>
      <c r="E2" s="21"/>
      <c r="F2" s="21"/>
      <c r="G2" s="21"/>
      <c r="H2" s="21"/>
      <c r="I2" s="21"/>
    </row>
    <row r="3" ht="24" customHeight="1">
      <c r="A3" s="22" t="s">
        <v>142</v>
      </c>
      <c r="B3" s="22"/>
      <c r="C3" s="22"/>
      <c r="D3" s="22"/>
      <c r="E3" s="22"/>
      <c r="F3" s="22"/>
      <c r="G3" s="22"/>
      <c r="H3" s="22"/>
      <c r="I3" s="22"/>
    </row>
    <row r="4" ht="27.75" customHeight="1">
      <c r="A4" s="4" t="s">
        <v>104</v>
      </c>
      <c r="B4" s="4" t="s">
        <v>143</v>
      </c>
      <c r="C4" s="4" t="s">
        <v>144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150</v>
      </c>
    </row>
    <row r="5" ht="18" customHeight="1"/>
    <row r="6" ht="18" customHeight="1"/>
    <row r="7" ht="18" customHeight="1"/>
    <row r="8" ht="18" customHeight="1"/>
    <row r="9" ht="18" customHeight="1"/>
    <row r="10" ht="18" customHeight="1">
      <c r="A10" s="14" t="s">
        <v>151</v>
      </c>
      <c r="B10" s="15" t="s">
        <v>152</v>
      </c>
      <c r="C10" s="14" t="s">
        <v>153</v>
      </c>
      <c r="D10" s="14" t="s">
        <v>154</v>
      </c>
      <c r="E10" s="14" t="s">
        <v>155</v>
      </c>
      <c r="F10" s="39">
        <v>3</v>
      </c>
      <c r="G10" s="23">
        <v>3200</v>
      </c>
      <c r="H10" s="40">
        <f>F10*G10</f>
        <v>9600</v>
      </c>
      <c r="I10" s="41" t="s">
        <v>156</v>
      </c>
    </row>
    <row r="11" ht="18" customHeight="1">
      <c r="A11" s="8" t="s">
        <v>157</v>
      </c>
      <c r="B11" s="10" t="s">
        <v>158</v>
      </c>
      <c r="C11" s="8" t="s">
        <v>159</v>
      </c>
      <c r="D11" s="8" t="s">
        <v>160</v>
      </c>
      <c r="E11" s="8" t="s">
        <v>155</v>
      </c>
      <c r="F11" s="42">
        <v>15</v>
      </c>
      <c r="G11" s="25">
        <v>89</v>
      </c>
      <c r="H11" s="40">
        <f>F11*G11</f>
        <v>1335</v>
      </c>
      <c r="I11" s="43" t="s">
        <v>156</v>
      </c>
    </row>
    <row r="12" ht="18" customHeight="1">
      <c r="A12" s="14" t="s">
        <v>161</v>
      </c>
      <c r="B12" s="15" t="s">
        <v>162</v>
      </c>
      <c r="C12" s="14" t="s">
        <v>163</v>
      </c>
      <c r="D12" s="14" t="s">
        <v>164</v>
      </c>
      <c r="E12" s="14" t="s">
        <v>165</v>
      </c>
      <c r="F12" s="39">
        <v>5</v>
      </c>
      <c r="G12" s="23">
        <v>1200</v>
      </c>
      <c r="H12" s="40">
        <f>F12*G12</f>
        <v>6000</v>
      </c>
      <c r="I12" s="41" t="s">
        <v>156</v>
      </c>
    </row>
    <row r="13" ht="18" customHeight="1">
      <c r="A13" s="8" t="s">
        <v>166</v>
      </c>
      <c r="B13" s="10" t="s">
        <v>120</v>
      </c>
      <c r="C13" s="8" t="s">
        <v>153</v>
      </c>
      <c r="D13" s="8" t="s">
        <v>154</v>
      </c>
      <c r="E13" s="8" t="s">
        <v>165</v>
      </c>
      <c r="F13" s="42">
        <v>2</v>
      </c>
      <c r="G13" s="25">
        <v>3200</v>
      </c>
      <c r="H13" s="40">
        <f>F13*G13</f>
        <v>6400</v>
      </c>
      <c r="I13" s="43" t="s">
        <v>156</v>
      </c>
    </row>
    <row r="14" ht="18" customHeight="1">
      <c r="A14" s="14" t="s">
        <v>167</v>
      </c>
      <c r="B14" s="15" t="s">
        <v>152</v>
      </c>
      <c r="C14" s="14" t="s">
        <v>153</v>
      </c>
      <c r="D14" s="14" t="s">
        <v>164</v>
      </c>
      <c r="E14" s="14" t="s">
        <v>168</v>
      </c>
      <c r="F14" s="39">
        <v>4</v>
      </c>
      <c r="G14" s="23">
        <v>1200</v>
      </c>
      <c r="H14" s="40">
        <f>F14*G14</f>
        <v>4800</v>
      </c>
      <c r="I14" s="41" t="s">
        <v>156</v>
      </c>
    </row>
    <row r="15" ht="18" customHeight="1">
      <c r="A15" s="8" t="s">
        <v>169</v>
      </c>
      <c r="B15" s="10" t="s">
        <v>170</v>
      </c>
      <c r="C15" s="8" t="s">
        <v>171</v>
      </c>
      <c r="D15" s="8" t="s">
        <v>172</v>
      </c>
      <c r="E15" s="8" t="s">
        <v>168</v>
      </c>
      <c r="F15" s="42">
        <v>20</v>
      </c>
      <c r="G15" s="25">
        <v>150</v>
      </c>
      <c r="H15" s="40">
        <f>F15*G15</f>
        <v>3000</v>
      </c>
      <c r="I15" s="43" t="s">
        <v>156</v>
      </c>
    </row>
    <row r="16" ht="18" customHeight="1">
      <c r="A16" s="14" t="s">
        <v>173</v>
      </c>
      <c r="B16" s="15" t="s">
        <v>158</v>
      </c>
      <c r="C16" s="14" t="s">
        <v>159</v>
      </c>
      <c r="D16" s="14" t="s">
        <v>154</v>
      </c>
      <c r="E16" s="14" t="s">
        <v>174</v>
      </c>
      <c r="F16" s="39">
        <v>1</v>
      </c>
      <c r="G16" s="23">
        <v>3200</v>
      </c>
      <c r="H16" s="40">
        <f>F16*G16</f>
        <v>3200</v>
      </c>
      <c r="I16" s="41" t="s">
        <v>156</v>
      </c>
    </row>
    <row r="17" ht="18" customHeight="1">
      <c r="A17" s="8" t="s">
        <v>175</v>
      </c>
      <c r="B17" s="10" t="s">
        <v>162</v>
      </c>
      <c r="C17" s="8" t="s">
        <v>163</v>
      </c>
      <c r="D17" s="8" t="s">
        <v>160</v>
      </c>
      <c r="E17" s="8" t="s">
        <v>174</v>
      </c>
      <c r="F17" s="42">
        <v>30</v>
      </c>
      <c r="G17" s="25">
        <v>89</v>
      </c>
      <c r="H17" s="40">
        <f>F17*G17</f>
        <v>2670</v>
      </c>
      <c r="I17" s="43" t="s">
        <v>156</v>
      </c>
    </row>
    <row r="18" ht="18" customHeight="1">
      <c r="A18" s="14" t="s">
        <v>176</v>
      </c>
      <c r="B18" s="15" t="s">
        <v>120</v>
      </c>
      <c r="C18" s="14" t="s">
        <v>153</v>
      </c>
      <c r="D18" s="14" t="s">
        <v>172</v>
      </c>
      <c r="E18" s="14" t="s">
        <v>177</v>
      </c>
      <c r="F18" s="39">
        <v>12</v>
      </c>
      <c r="G18" s="23">
        <v>150</v>
      </c>
      <c r="H18" s="40">
        <f>F18*G18</f>
        <v>1800</v>
      </c>
      <c r="I18" s="41" t="s">
        <v>156</v>
      </c>
    </row>
    <row r="19" ht="18" customHeight="1">
      <c r="A19" s="8" t="s">
        <v>178</v>
      </c>
      <c r="B19" s="10" t="s">
        <v>152</v>
      </c>
      <c r="C19" s="8" t="s">
        <v>153</v>
      </c>
      <c r="D19" s="8" t="s">
        <v>154</v>
      </c>
      <c r="E19" s="8" t="s">
        <v>177</v>
      </c>
      <c r="F19" s="42">
        <v>4</v>
      </c>
      <c r="G19" s="25">
        <v>3200</v>
      </c>
      <c r="H19" s="40">
        <f>F19*G19</f>
        <v>12800</v>
      </c>
      <c r="I19" s="43" t="s">
        <v>156</v>
      </c>
    </row>
    <row r="20" ht="18" customHeight="1">
      <c r="A20" s="14" t="s">
        <v>179</v>
      </c>
      <c r="B20" s="15" t="s">
        <v>170</v>
      </c>
      <c r="C20" s="14" t="s">
        <v>171</v>
      </c>
      <c r="D20" s="14" t="s">
        <v>164</v>
      </c>
      <c r="E20" s="14" t="s">
        <v>180</v>
      </c>
      <c r="F20" s="39">
        <v>3</v>
      </c>
      <c r="G20" s="23">
        <v>1200</v>
      </c>
      <c r="H20" s="40">
        <f>F20*G20</f>
        <v>3600</v>
      </c>
      <c r="I20" s="41" t="s">
        <v>156</v>
      </c>
    </row>
    <row r="21" ht="18" customHeight="1">
      <c r="A21" s="8" t="s">
        <v>181</v>
      </c>
      <c r="B21" s="10" t="s">
        <v>158</v>
      </c>
      <c r="C21" s="8" t="s">
        <v>159</v>
      </c>
      <c r="D21" s="8" t="s">
        <v>160</v>
      </c>
      <c r="E21" s="8" t="s">
        <v>180</v>
      </c>
      <c r="F21" s="42">
        <v>25</v>
      </c>
      <c r="G21" s="25">
        <v>89</v>
      </c>
      <c r="H21" s="40">
        <f>F21*G21</f>
        <v>2225</v>
      </c>
      <c r="I21" s="43" t="s">
        <v>156</v>
      </c>
    </row>
    <row r="22" ht="18" customHeight="1">
      <c r="A22" s="14" t="s">
        <v>182</v>
      </c>
      <c r="B22" s="15" t="s">
        <v>162</v>
      </c>
      <c r="C22" s="14" t="s">
        <v>163</v>
      </c>
      <c r="D22" s="14" t="s">
        <v>154</v>
      </c>
      <c r="E22" s="14" t="s">
        <v>155</v>
      </c>
      <c r="F22" s="39">
        <v>2</v>
      </c>
      <c r="G22" s="23">
        <v>3200</v>
      </c>
      <c r="H22" s="40">
        <f>F22*G22</f>
        <v>6400</v>
      </c>
      <c r="I22" s="41" t="s">
        <v>156</v>
      </c>
    </row>
    <row r="23" ht="18" customHeight="1">
      <c r="A23" s="8" t="s">
        <v>183</v>
      </c>
      <c r="B23" s="10" t="s">
        <v>120</v>
      </c>
      <c r="C23" s="8" t="s">
        <v>153</v>
      </c>
      <c r="D23" s="8" t="s">
        <v>164</v>
      </c>
      <c r="E23" s="8" t="s">
        <v>165</v>
      </c>
      <c r="F23" s="42">
        <v>6</v>
      </c>
      <c r="G23" s="25">
        <v>1200</v>
      </c>
      <c r="H23" s="40">
        <f>F23*G23</f>
        <v>7200</v>
      </c>
      <c r="I23" s="43" t="s">
        <v>156</v>
      </c>
    </row>
    <row r="24" ht="18" customHeight="1">
      <c r="A24" s="14" t="s">
        <v>184</v>
      </c>
      <c r="B24" s="15" t="s">
        <v>152</v>
      </c>
      <c r="C24" s="14" t="s">
        <v>153</v>
      </c>
      <c r="D24" s="14" t="s">
        <v>160</v>
      </c>
      <c r="E24" s="14" t="s">
        <v>168</v>
      </c>
      <c r="F24" s="39">
        <v>18</v>
      </c>
      <c r="G24" s="23">
        <v>89</v>
      </c>
      <c r="H24" s="40">
        <f>F24*G24</f>
        <v>1602</v>
      </c>
      <c r="I24" s="41" t="s">
        <v>156</v>
      </c>
    </row>
    <row r="25" ht="15" customHeight="1">
      <c r="A25" s="8" t="s">
        <v>185</v>
      </c>
      <c r="B25" s="10" t="s">
        <v>170</v>
      </c>
      <c r="C25" s="8" t="s">
        <v>171</v>
      </c>
      <c r="D25" s="8" t="s">
        <v>154</v>
      </c>
      <c r="E25" s="8" t="s">
        <v>174</v>
      </c>
      <c r="F25" s="42">
        <v>2</v>
      </c>
      <c r="G25" s="25">
        <v>3200</v>
      </c>
      <c r="H25" s="40">
        <f>F25*G25</f>
        <v>6400</v>
      </c>
      <c r="I25" s="43" t="s">
        <v>156</v>
      </c>
    </row>
    <row r="26" ht="15" customHeight="1">
      <c r="A26" s="14" t="s">
        <v>186</v>
      </c>
      <c r="B26" s="15" t="s">
        <v>158</v>
      </c>
      <c r="C26" s="14" t="s">
        <v>159</v>
      </c>
      <c r="D26" s="14" t="s">
        <v>172</v>
      </c>
      <c r="E26" s="14" t="s">
        <v>177</v>
      </c>
      <c r="F26" s="39">
        <v>8</v>
      </c>
      <c r="G26" s="23">
        <v>150</v>
      </c>
      <c r="H26" s="40">
        <f>F26*G26</f>
        <v>1200</v>
      </c>
      <c r="I26" s="41" t="s">
        <v>156</v>
      </c>
    </row>
    <row r="27" ht="24" customHeight="1">
      <c r="A27" s="44" t="s">
        <v>187</v>
      </c>
      <c r="B27" s="44"/>
      <c r="C27" s="44"/>
      <c r="D27" s="44"/>
      <c r="E27" s="44"/>
      <c r="F27" s="44"/>
      <c r="G27" s="44"/>
      <c r="H27" s="44"/>
      <c r="I27" s="44"/>
    </row>
    <row r="28" ht="27.75" customHeight="1">
      <c r="A28" s="28" t="s">
        <v>188</v>
      </c>
      <c r="B28" s="28" t="s">
        <v>189</v>
      </c>
      <c r="C28" s="28" t="s">
        <v>190</v>
      </c>
      <c r="D28" s="28" t="s">
        <v>191</v>
      </c>
      <c r="E28" s="28" t="s">
        <v>192</v>
      </c>
      <c r="F28" s="28"/>
      <c r="G28" s="28"/>
      <c r="H28" s="28"/>
      <c r="I28" s="28"/>
    </row>
    <row r="29" ht="19.5" customHeight="1">
      <c r="A29" s="15" t="s">
        <v>193</v>
      </c>
      <c r="B29" s="45" t="s">
        <v>194</v>
      </c>
      <c r="C29" s="45" t="s">
        <v>195</v>
      </c>
      <c r="D29" s="46">
        <f>SUMIF(B5:B24,"Ana Silva",H5:H24)</f>
        <v>28802</v>
      </c>
      <c r="E29" s="47">
        <f>SUMIF(C5:C24,"Ana Silva",H5:H24)</f>
        <v>0</v>
      </c>
      <c r="F29" s="47"/>
      <c r="G29" s="47"/>
      <c r="H29" s="47"/>
      <c r="I29" s="47"/>
    </row>
    <row r="30" ht="19.5" customHeight="1">
      <c r="A30" s="48" t="s">
        <v>196</v>
      </c>
      <c r="B30" s="49" t="s">
        <v>197</v>
      </c>
      <c r="C30" s="49" t="s">
        <v>195</v>
      </c>
      <c r="D30" s="50">
        <f>COUNTIF(D5:D24,"Notebook")</f>
        <v>5</v>
      </c>
      <c r="E30" s="51">
        <f>COUNTIF(D5:D24,"Notebook")</f>
        <v>5</v>
      </c>
      <c r="F30" s="51"/>
      <c r="G30" s="51"/>
      <c r="H30" s="51"/>
      <c r="I30" s="51"/>
    </row>
    <row r="31" ht="19.5" customHeight="1">
      <c r="A31" s="15" t="s">
        <v>198</v>
      </c>
      <c r="B31" s="45" t="s">
        <v>199</v>
      </c>
      <c r="C31" s="45" t="s">
        <v>195</v>
      </c>
      <c r="D31" s="46">
        <f>SUMIF(C5:C24,"Sul",H5:H24)</f>
        <v>44202</v>
      </c>
      <c r="E31" s="51">
        <f>SUMIF(C5:C24,"Sul",H5:H24)</f>
        <v>44202</v>
      </c>
      <c r="F31" s="51"/>
      <c r="G31" s="51"/>
      <c r="H31" s="51"/>
      <c r="I31" s="51"/>
    </row>
    <row r="32" ht="19.5" customHeight="1">
      <c r="A32" s="48" t="s">
        <v>200</v>
      </c>
      <c r="B32" s="49" t="s">
        <v>201</v>
      </c>
      <c r="C32" s="49" t="s">
        <v>202</v>
      </c>
      <c r="D32" s="46">
        <f>SUMIFS(H5:H24,C5:C24,"Sul",D5:D24,"Notebook")</f>
        <v>28800</v>
      </c>
      <c r="E32" s="51">
        <f>SUMIFS(H5:H24,C5:C24,"Sul",D5:D24,"Notebook")</f>
        <v>28800</v>
      </c>
      <c r="F32" s="51"/>
      <c r="G32" s="51"/>
      <c r="H32" s="51"/>
      <c r="I32" s="51"/>
    </row>
    <row r="33" ht="19.5" customHeight="1">
      <c r="A33" s="15" t="s">
        <v>203</v>
      </c>
      <c r="B33" s="45" t="s">
        <v>204</v>
      </c>
      <c r="C33" s="45" t="s">
        <v>195</v>
      </c>
      <c r="D33" s="46">
        <f>AVERAGEIF(C5:C24,"Sudeste",H5:H24)</f>
        <v>5023.3333333333303</v>
      </c>
      <c r="E33" s="51">
        <f>AVERAGEIF(C5:C24,"Sudeste",H5:H24)</f>
        <v>5023.3333333333303</v>
      </c>
      <c r="F33" s="51"/>
      <c r="G33" s="51"/>
      <c r="H33" s="51"/>
      <c r="I33" s="51"/>
    </row>
    <row r="34" ht="19.5" customHeight="1">
      <c r="A34" s="48" t="s">
        <v>205</v>
      </c>
      <c r="B34" s="49" t="s">
        <v>206</v>
      </c>
      <c r="C34" s="49" t="s">
        <v>195</v>
      </c>
      <c r="D34" s="50">
        <f>COUNTIF(E5:E24,"Janeiro")</f>
        <v>3</v>
      </c>
      <c r="E34" s="51">
        <f>COUNTIF(E5:E24,"Janeiro")</f>
        <v>3</v>
      </c>
      <c r="F34" s="51"/>
      <c r="G34" s="51"/>
      <c r="H34" s="51"/>
      <c r="I34" s="51"/>
    </row>
    <row r="35" ht="19.5" customHeight="1">
      <c r="A35" s="15" t="s">
        <v>207</v>
      </c>
      <c r="B35" s="45" t="s">
        <v>208</v>
      </c>
      <c r="C35" s="45" t="s">
        <v>209</v>
      </c>
      <c r="D35" s="46">
        <f>SUMIFS(H5:H24,E5:E24,"Maio",B5:B24,"Ana Silva")</f>
        <v>12800</v>
      </c>
      <c r="E35" s="51">
        <f>SUMIFS(H5:H24,E5:E24,"Maio",C5:C24,"Ana Silva")</f>
        <v>0</v>
      </c>
      <c r="F35" s="51"/>
      <c r="G35" s="51"/>
      <c r="H35" s="51"/>
      <c r="I35" s="51"/>
    </row>
    <row r="36" ht="19.5" customHeight="1">
      <c r="A36" s="48" t="s">
        <v>210</v>
      </c>
      <c r="B36" s="49" t="s">
        <v>195</v>
      </c>
      <c r="C36" s="49" t="s">
        <v>195</v>
      </c>
      <c r="D36" s="46">
        <f>MAX(H5:H24)</f>
        <v>12800</v>
      </c>
      <c r="E36" s="52">
        <f>MAX(H5:H24)</f>
        <v>12800</v>
      </c>
      <c r="F36" s="52"/>
      <c r="G36" s="52"/>
      <c r="H36" s="52"/>
      <c r="I36" s="52"/>
    </row>
    <row r="37" ht="19.5" customHeight="1">
      <c r="A37" s="15" t="s">
        <v>211</v>
      </c>
      <c r="B37" s="45" t="s">
        <v>195</v>
      </c>
      <c r="C37" s="45" t="s">
        <v>195</v>
      </c>
      <c r="D37" s="46">
        <f>MIN(H5:H24)</f>
        <v>1335</v>
      </c>
      <c r="E37" s="52">
        <f>MIN(H5:H24)</f>
        <v>1335</v>
      </c>
      <c r="F37" s="52"/>
      <c r="G37" s="52"/>
      <c r="H37" s="52"/>
      <c r="I37" s="52"/>
    </row>
    <row r="38" ht="19.5" customHeight="1">
      <c r="A38" s="48" t="s">
        <v>212</v>
      </c>
      <c r="B38" s="49" t="s">
        <v>195</v>
      </c>
      <c r="C38" s="49" t="s">
        <v>195</v>
      </c>
      <c r="D38" s="46">
        <f>AVERAGE(H5:H24)</f>
        <v>4842.1333333333296</v>
      </c>
      <c r="E38" s="52">
        <f>AVERAGE(H5:H24)</f>
        <v>4842.1333333333296</v>
      </c>
      <c r="F38" s="52"/>
      <c r="G38" s="52"/>
      <c r="H38" s="52"/>
      <c r="I38" s="52"/>
    </row>
  </sheetData>
  <mergeCells count="15">
    <mergeCell ref="A1:I1"/>
    <mergeCell ref="A2:I2"/>
    <mergeCell ref="A3:I3"/>
    <mergeCell ref="A27:I27"/>
    <mergeCell ref="E28:I28"/>
    <mergeCell ref="E29:I29"/>
    <mergeCell ref="E30:I30"/>
    <mergeCell ref="E31:I31"/>
    <mergeCell ref="E32:I32"/>
    <mergeCell ref="E33:I33"/>
    <mergeCell ref="E34:I34"/>
    <mergeCell ref="E35:I35"/>
    <mergeCell ref="E36:I36"/>
    <mergeCell ref="E37:I37"/>
    <mergeCell ref="E38:I38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0"/>
    <col collapsed="0" customWidth="1" hidden="0" min="3" max="7" outlineLevel="0" style="1" width="14"/>
    <col collapsed="0" customWidth="1" hidden="0" min="8" max="8" outlineLevel="0" style="1" width="30"/>
  </cols>
  <sheetData>
    <row r="1" ht="36" customHeight="1">
      <c r="A1" s="20" t="s">
        <v>213</v>
      </c>
      <c r="B1" s="20"/>
      <c r="C1" s="20"/>
      <c r="D1" s="20"/>
      <c r="E1" s="20"/>
      <c r="F1" s="20"/>
      <c r="G1" s="20"/>
      <c r="H1" s="20"/>
    </row>
    <row r="2" ht="36" customHeight="1">
      <c r="A2" s="21" t="s">
        <v>214</v>
      </c>
      <c r="B2" s="21"/>
      <c r="C2" s="21"/>
      <c r="D2" s="21"/>
      <c r="E2" s="21"/>
      <c r="F2" s="21"/>
      <c r="G2" s="21"/>
      <c r="H2" s="21"/>
    </row>
    <row r="3" ht="24" customHeight="1">
      <c r="A3" s="22" t="s">
        <v>215</v>
      </c>
      <c r="B3" s="22"/>
      <c r="C3" s="22"/>
      <c r="D3" s="22"/>
      <c r="E3" s="22"/>
      <c r="F3" s="22"/>
      <c r="G3" s="22"/>
      <c r="H3" s="22"/>
    </row>
    <row r="4" ht="15" customHeight="1">
      <c r="A4" s="53" t="s">
        <v>216</v>
      </c>
      <c r="B4" s="54" t="s">
        <v>217</v>
      </c>
      <c r="C4" s="54" t="s">
        <v>218</v>
      </c>
      <c r="D4" s="54" t="s">
        <v>219</v>
      </c>
      <c r="E4" s="54" t="s">
        <v>220</v>
      </c>
    </row>
    <row r="5" ht="19.5" customHeight="1">
      <c r="A5" s="55" t="s">
        <v>154</v>
      </c>
      <c r="B5" s="23">
        <v>3200</v>
      </c>
      <c r="C5" s="23">
        <v>3050</v>
      </c>
      <c r="D5" s="23">
        <v>3400</v>
      </c>
      <c r="E5" s="23">
        <v>2980</v>
      </c>
    </row>
    <row r="6" ht="19.5" customHeight="1">
      <c r="A6" s="55" t="s">
        <v>164</v>
      </c>
      <c r="B6" s="25">
        <v>1200</v>
      </c>
      <c r="C6" s="25">
        <v>1150</v>
      </c>
      <c r="D6" s="25">
        <v>1300</v>
      </c>
      <c r="E6" s="25">
        <v>1080</v>
      </c>
    </row>
    <row r="7" ht="19.5" customHeight="1">
      <c r="A7" s="55" t="s">
        <v>160</v>
      </c>
      <c r="B7" s="23">
        <v>89</v>
      </c>
      <c r="C7" s="23">
        <v>82</v>
      </c>
      <c r="D7" s="23">
        <v>95</v>
      </c>
      <c r="E7" s="23">
        <v>78</v>
      </c>
    </row>
    <row r="8" ht="19.5" customHeight="1">
      <c r="A8" s="55" t="s">
        <v>172</v>
      </c>
      <c r="B8" s="25">
        <v>150</v>
      </c>
      <c r="C8" s="25">
        <v>145</v>
      </c>
      <c r="D8" s="25">
        <v>160</v>
      </c>
      <c r="E8" s="25">
        <v>138</v>
      </c>
    </row>
    <row r="9" ht="19.5" customHeight="1">
      <c r="A9" s="55" t="s">
        <v>221</v>
      </c>
      <c r="B9" s="23">
        <v>280</v>
      </c>
      <c r="C9" s="23">
        <v>265</v>
      </c>
      <c r="D9" s="23">
        <v>295</v>
      </c>
      <c r="E9" s="23">
        <v>250</v>
      </c>
    </row>
    <row r="11" ht="24" customHeight="1">
      <c r="A11" s="27" t="s">
        <v>222</v>
      </c>
      <c r="B11" s="27"/>
      <c r="C11" s="27"/>
      <c r="D11" s="27"/>
      <c r="E11" s="27"/>
      <c r="F11" s="27"/>
      <c r="G11" s="27"/>
      <c r="H11" s="27"/>
    </row>
    <row r="12" ht="27.75" customHeight="1">
      <c r="A12" s="28" t="s">
        <v>223</v>
      </c>
      <c r="B12" s="28" t="s">
        <v>145</v>
      </c>
      <c r="C12" s="28" t="s">
        <v>224</v>
      </c>
      <c r="D12" s="28" t="s">
        <v>191</v>
      </c>
      <c r="E12" s="28" t="s">
        <v>192</v>
      </c>
      <c r="F12" s="28"/>
      <c r="G12" s="28"/>
      <c r="H12" s="28"/>
    </row>
    <row r="13" ht="21.75" customHeight="1">
      <c r="A13" s="15" t="s">
        <v>225</v>
      </c>
      <c r="B13" s="45" t="s">
        <v>154</v>
      </c>
      <c r="C13" s="45" t="s">
        <v>219</v>
      </c>
      <c r="D13" s="46">
        <f>INDEX($B$5:$E$9,MATCH("Notebook",$A$5:$A$9,0),MATCH("FornC",$B$4:$E$4,0))</f>
        <v>3400</v>
      </c>
      <c r="E13" s="52">
        <f>INDEX($B$5:$E$9,MATCH("Notebook",$A$5:$A$9,0),MATCH("FornC",$B$4:$E$4,0))</f>
        <v>3400</v>
      </c>
      <c r="F13" s="52"/>
      <c r="G13" s="52"/>
      <c r="H13" s="52"/>
    </row>
    <row r="14" ht="21.75" customHeight="1">
      <c r="A14" s="48" t="s">
        <v>226</v>
      </c>
      <c r="B14" s="49" t="s">
        <v>221</v>
      </c>
      <c r="C14" s="49" t="s">
        <v>217</v>
      </c>
      <c r="D14" s="46">
        <f>INDEX($B$5:$E$9,MATCH("Headset",$A$5:$A$9,0),MATCH("FornA",$B$4:$E$4,0))</f>
        <v>280</v>
      </c>
      <c r="E14" s="52">
        <f>INDEX($B$5:$E$9,MATCH("Headset",$A$5:$A$9,0),MATCH("FornA",$B$4:$E$4,0))</f>
        <v>280</v>
      </c>
      <c r="F14" s="52"/>
      <c r="G14" s="52"/>
      <c r="H14" s="52"/>
    </row>
    <row r="15" ht="21.75" customHeight="1">
      <c r="A15" s="15" t="s">
        <v>227</v>
      </c>
      <c r="B15" s="45" t="s">
        <v>160</v>
      </c>
      <c r="C15" s="45" t="s">
        <v>220</v>
      </c>
      <c r="D15" s="46">
        <f>INDEX($B$5:$E$9,MATCH("Mouse",$A$5:$A$9,0),MATCH("FornD",$B$4:$E$4,0))</f>
        <v>78</v>
      </c>
      <c r="E15" s="52">
        <f>INDEX($B$5:$E$9,MATCH("Mouse",$A$5:$A$9,0),MATCH("FornD",$B$4:$E$4,0))</f>
        <v>78</v>
      </c>
      <c r="F15" s="52"/>
      <c r="G15" s="52"/>
      <c r="H15" s="52"/>
    </row>
    <row r="16" ht="21.75" customHeight="1">
      <c r="A16" s="48" t="s">
        <v>228</v>
      </c>
      <c r="B16" s="49" t="s">
        <v>164</v>
      </c>
      <c r="C16" s="49" t="s">
        <v>218</v>
      </c>
      <c r="D16" s="46">
        <f>INDEX($B$5:$E$9,MATCH("Monitor",$A$5:$A$9,0),MATCH("FornB",$B$4:$E$4,0))</f>
        <v>1150</v>
      </c>
      <c r="E16" s="52">
        <f>INDEX($B$5:$E$9,MATCH("Monitor",$A$5:$A$9,0),MATCH("FornB",$B$4:$E$4,0))</f>
        <v>1150</v>
      </c>
      <c r="F16" s="52"/>
      <c r="G16" s="52"/>
      <c r="H16" s="52"/>
    </row>
    <row r="17" ht="21.75" customHeight="1">
      <c r="A17" s="15" t="s">
        <v>229</v>
      </c>
      <c r="B17" s="45" t="s">
        <v>172</v>
      </c>
      <c r="C17" s="45" t="s">
        <v>195</v>
      </c>
      <c r="D17" s="46">
        <f>MIN(INDEX($B$5:$E$9,MATCH("Teclado",$A$5:$A$9,0),0))</f>
        <v>138</v>
      </c>
      <c r="E17" s="52">
        <f>MIN(INDEX($B$5:$E$9,MATCH("Teclado",$A$5:$A$9,0),0))</f>
        <v>138</v>
      </c>
      <c r="F17" s="52"/>
      <c r="G17" s="52"/>
      <c r="H17" s="52"/>
    </row>
    <row r="18" ht="21.75" customHeight="1">
      <c r="A18" s="48" t="s">
        <v>230</v>
      </c>
      <c r="B18" s="49" t="s">
        <v>154</v>
      </c>
      <c r="C18" s="49" t="s">
        <v>195</v>
      </c>
      <c r="D18" s="56" t="str">
        <f>INDEX($B$4:$E$4,MATCH(MIN(INDEX($B$5:$E$9,MATCH("Notebook",$A$5:$A$9,0),0)),INDEX($B$5:$E$9,MATCH("Notebook",$A$5:$A$9,0),0),0))</f>
        <v>FornD</v>
      </c>
      <c r="E18" s="57" t="str">
        <f>INDEX($B$4:$E$4,MATCH(MIN(INDEX($B$5:$E$9,MATCH("Notebook",$A$5:$A$9,0),0)),INDEX($B$5:$E$9,MATCH("Notebook",$A$5:$A$9,0),0),0))</f>
        <v>FornD</v>
      </c>
      <c r="F18" s="57"/>
      <c r="G18" s="57"/>
      <c r="H18" s="57"/>
    </row>
    <row r="19" ht="21.75" customHeight="1">
      <c r="A19" s="15" t="s">
        <v>231</v>
      </c>
      <c r="B19" s="45" t="s">
        <v>195</v>
      </c>
      <c r="C19" s="45" t="s">
        <v>217</v>
      </c>
      <c r="D19" s="56" t="str">
        <f>INDEX($A$5:$A$9,MATCH(MAX($B$5:$B$9),$B$5:$B$9,0))</f>
        <v>Notebook</v>
      </c>
      <c r="E19" s="57" t="str">
        <f>INDEX($A$5:$A$9,MATCH(MAX($B$5:$B$9),$B$5:$B$9,0))</f>
        <v>Notebook</v>
      </c>
      <c r="F19" s="57"/>
      <c r="G19" s="57"/>
      <c r="H19" s="57"/>
    </row>
    <row r="20" ht="21.75" customHeight="1">
      <c r="A20" s="48" t="s">
        <v>232</v>
      </c>
      <c r="B20" s="49" t="s">
        <v>195</v>
      </c>
      <c r="C20" s="49" t="s">
        <v>195</v>
      </c>
      <c r="D20" s="46">
        <f>MAX($B$5:$E$9)</f>
        <v>3400</v>
      </c>
      <c r="E20" s="52">
        <f>MAX($B$5:$E$9)</f>
        <v>3400</v>
      </c>
      <c r="F20" s="52"/>
      <c r="G20" s="52"/>
      <c r="H20" s="52"/>
    </row>
  </sheetData>
  <mergeCells count="13">
    <mergeCell ref="A1:H1"/>
    <mergeCell ref="A2:H2"/>
    <mergeCell ref="A3:H3"/>
    <mergeCell ref="A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18"/>
    <col collapsed="0" customWidth="1" hidden="0" min="2" max="2" outlineLevel="0" style="1" width="40"/>
    <col collapsed="0" customWidth="1" hidden="0" min="3" max="4" outlineLevel="0" style="1" width="16"/>
    <col collapsed="0" customWidth="1" hidden="0" min="5" max="5" outlineLevel="0" style="1" width="18"/>
    <col collapsed="0" customWidth="1" hidden="0" min="6" max="7" outlineLevel="0" style="1" width="16"/>
    <col collapsed="0" customWidth="1" hidden="0" min="8" max="8" outlineLevel="0" style="1" width="18"/>
    <col collapsed="0" customWidth="1" hidden="0" min="9" max="9" outlineLevel="0" style="1" width="28"/>
  </cols>
  <sheetData>
    <row r="1" ht="36" customHeight="1">
      <c r="A1" s="20" t="s">
        <v>233</v>
      </c>
      <c r="B1" s="20"/>
      <c r="C1" s="20"/>
      <c r="D1" s="20"/>
      <c r="E1" s="20"/>
      <c r="F1" s="20"/>
      <c r="G1" s="20"/>
      <c r="H1" s="20"/>
      <c r="I1" s="20"/>
    </row>
    <row r="2" ht="36" customHeight="1">
      <c r="A2" s="21" t="s">
        <v>234</v>
      </c>
      <c r="B2" s="21"/>
      <c r="C2" s="21"/>
      <c r="D2" s="21"/>
      <c r="E2" s="21"/>
      <c r="F2" s="21"/>
      <c r="G2" s="21"/>
      <c r="H2" s="21"/>
      <c r="I2" s="21"/>
    </row>
    <row r="3" ht="24" customHeight="1">
      <c r="A3" s="22" t="s">
        <v>235</v>
      </c>
      <c r="B3" s="22"/>
      <c r="C3" s="22"/>
      <c r="D3" s="22"/>
      <c r="E3" s="22"/>
      <c r="F3" s="22"/>
      <c r="G3" s="22"/>
      <c r="H3" s="22"/>
      <c r="I3" s="22"/>
    </row>
    <row r="4" ht="27.75" customHeight="1">
      <c r="A4" s="4" t="s">
        <v>104</v>
      </c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150</v>
      </c>
      <c r="I4" s="4" t="s">
        <v>242</v>
      </c>
    </row>
    <row r="5" ht="19.5" customHeight="1">
      <c r="A5" s="58" t="s">
        <v>243</v>
      </c>
      <c r="B5" s="15" t="s">
        <v>244</v>
      </c>
      <c r="C5" s="59" t="s">
        <v>245</v>
      </c>
      <c r="D5" s="59" t="s">
        <v>246</v>
      </c>
      <c r="E5" s="60">
        <f aca="1">IFERROR(NETWORKDAYS(C5,IF(D5="Em aberto",TODAY(),D5)),0)</f>
        <v>524</v>
      </c>
      <c r="F5" s="61">
        <f aca="1">IFERROR(DATEDIF(C5,IF(D5="Em aberto",TODAY(),D5),"M"),0)</f>
        <v>24</v>
      </c>
      <c r="G5" s="62">
        <f aca="1">IFERROR(DATEDIF(C5,IF(D5="Em aberto",TODAY(),D5),"Y"),0)</f>
        <v>2</v>
      </c>
      <c r="H5" s="32" t="str">
        <f aca="1">IF(D5="Em aberto","✅ Ativo",IF(D5&lt;TODAY(),"🔴 VENCIDO",IF(D5-TODAY()&lt;=30,"🟡 Vence em 30d","🟢 Vigente")))</f>
        <v xml:space="preserve">🟡 Vence em 30d</v>
      </c>
      <c r="I5" s="32" t="str">
        <f aca="1">IF(D5="Em aberto","—",IF(D5&lt;TODAY(),"⚠️ VENCIDO",IF(D5-TODAY()&lt;=30,"🔔 URGENTE",IF(D5-TODAY()&lt;=90,"👁 Atenção","✅ OK"))))</f>
        <v xml:space="preserve">🔔 URGENTE</v>
      </c>
    </row>
    <row r="6" ht="19.5" customHeight="1">
      <c r="A6" s="63" t="s">
        <v>247</v>
      </c>
      <c r="B6" s="10" t="s">
        <v>248</v>
      </c>
      <c r="C6" s="64" t="s">
        <v>249</v>
      </c>
      <c r="D6" s="64" t="s">
        <v>250</v>
      </c>
      <c r="E6" s="60">
        <f aca="1">IFERROR(NETWORKDAYS(C6,IF(D6="Em aberto",TODAY(),D6)),0)</f>
        <v>1044</v>
      </c>
      <c r="F6" s="61">
        <f aca="1">IFERROR(DATEDIF(C6,IF(D6="Em aberto",TODAY(),D6),"M"),0)</f>
        <v>48</v>
      </c>
      <c r="G6" s="62">
        <f aca="1">IFERROR(DATEDIF(C6,IF(D6="Em aberto",TODAY(),D6),"Y"),0)</f>
        <v>4</v>
      </c>
      <c r="H6" s="32" t="str">
        <f aca="1">IF(D6="Em aberto","✅ Ativo",IF(D6&lt;TODAY(),"🔴 VENCIDO",IF(D6-TODAY()&lt;=30,"🟡 Vence em 30d","🟢 Vigente")))</f>
        <v xml:space="preserve">🟢 Vigente</v>
      </c>
      <c r="I6" s="32" t="str">
        <f aca="1">IF(D6="Em aberto","—",IF(D6&lt;TODAY(),"⚠️ VENCIDO",IF(D6-TODAY()&lt;=30,"🔔 URGENTE",IF(D6-TODAY()&lt;=90,"👁 Atenção","✅ OK"))))</f>
        <v xml:space="preserve">👁 Atenção</v>
      </c>
    </row>
    <row r="7" ht="19.5" customHeight="1">
      <c r="A7" s="58" t="s">
        <v>251</v>
      </c>
      <c r="B7" s="15" t="s">
        <v>252</v>
      </c>
      <c r="C7" s="59" t="s">
        <v>253</v>
      </c>
      <c r="D7" s="59" t="s">
        <v>254</v>
      </c>
      <c r="E7" s="60">
        <f aca="1">IFERROR(NETWORKDAYS(C7,IF(D7="Em aberto",TODAY(),D7)),0)</f>
        <v>260</v>
      </c>
      <c r="F7" s="61">
        <f aca="1">IFERROR(DATEDIF(C7,IF(D7="Em aberto",TODAY(),D7),"M"),0)</f>
        <v>12</v>
      </c>
      <c r="G7" s="62">
        <f aca="1">IFERROR(DATEDIF(C7,IF(D7="Em aberto",TODAY(),D7),"Y"),0)</f>
        <v>1</v>
      </c>
      <c r="H7" s="32" t="str">
        <f aca="1">IF(D7="Em aberto","✅ Ativo",IF(D7&lt;TODAY(),"🔴 VENCIDO",IF(D7-TODAY()&lt;=30,"🟡 Vence em 30d","🟢 Vigente")))</f>
        <v xml:space="preserve">🟡 Vence em 30d</v>
      </c>
      <c r="I7" s="32" t="str">
        <f aca="1">IF(D7="Em aberto","—",IF(D7&lt;TODAY(),"⚠️ VENCIDO",IF(D7-TODAY()&lt;=30,"🔔 URGENTE",IF(D7-TODAY()&lt;=90,"👁 Atenção","✅ OK"))))</f>
        <v xml:space="preserve">🔔 URGENTE</v>
      </c>
    </row>
    <row r="8" ht="19.5" customHeight="1">
      <c r="A8" s="63" t="s">
        <v>255</v>
      </c>
      <c r="B8" s="10" t="s">
        <v>256</v>
      </c>
      <c r="C8" s="64" t="s">
        <v>257</v>
      </c>
      <c r="D8" s="64" t="s">
        <v>258</v>
      </c>
      <c r="E8" s="60">
        <f aca="1">IFERROR(NETWORKDAYS(C8,IF(D8="Em aberto",TODAY(),D8)),0)</f>
        <v>523</v>
      </c>
      <c r="F8" s="61">
        <f aca="1">IFERROR(DATEDIF(C8,IF(D8="Em aberto",TODAY(),D8),"M"),0)</f>
        <v>24</v>
      </c>
      <c r="G8" s="62">
        <f aca="1">IFERROR(DATEDIF(C8,IF(D8="Em aberto",TODAY(),D8),"Y"),0)</f>
        <v>2</v>
      </c>
      <c r="H8" s="32" t="str">
        <f aca="1">IF(D8="Em aberto","✅ Ativo",IF(D8&lt;TODAY(),"🔴 VENCIDO",IF(D8-TODAY()&lt;=30,"🟡 Vence em 30d","🟢 Vigente")))</f>
        <v xml:space="preserve">🟡 Vence em 30d</v>
      </c>
      <c r="I8" s="32" t="str">
        <f aca="1">IF(D8="Em aberto","—",IF(D8&lt;TODAY(),"⚠️ VENCIDO",IF(D8-TODAY()&lt;=30,"🔔 URGENTE",IF(D8-TODAY()&lt;=90,"👁 Atenção","✅ OK"))))</f>
        <v xml:space="preserve">🔔 URGENTE</v>
      </c>
    </row>
    <row r="9" ht="19.5" customHeight="1">
      <c r="A9" s="58" t="s">
        <v>259</v>
      </c>
      <c r="B9" s="15" t="s">
        <v>260</v>
      </c>
      <c r="C9" s="59" t="s">
        <v>261</v>
      </c>
      <c r="D9" s="59" t="s">
        <v>262</v>
      </c>
      <c r="E9" s="60">
        <f aca="1">IFERROR(NETWORKDAYS(C9,IF(D9="Em aberto",TODAY(),D9)),0)</f>
        <v>522</v>
      </c>
      <c r="F9" s="61">
        <f aca="1">IFERROR(DATEDIF(C9,IF(D9="Em aberto",TODAY(),D9),"M"),0)</f>
        <v>23</v>
      </c>
      <c r="G9" s="62">
        <f aca="1">IFERROR(DATEDIF(C9,IF(D9="Em aberto",TODAY(),D9),"Y"),0)</f>
        <v>1</v>
      </c>
      <c r="H9" s="32" t="str">
        <f aca="1">IF(D9="Em aberto","✅ Ativo",IF(D9&lt;TODAY(),"🔴 VENCIDO",IF(D9-TODAY()&lt;=30,"🟡 Vence em 30d","🟢 Vigente")))</f>
        <v xml:space="preserve">🟢 Vigente</v>
      </c>
      <c r="I9" s="32" t="str">
        <f aca="1">IF(D9="Em aberto","—",IF(D9&lt;TODAY(),"⚠️ VENCIDO",IF(D9-TODAY()&lt;=30,"🔔 URGENTE",IF(D9-TODAY()&lt;=90,"👁 Atenção","✅ OK"))))</f>
        <v xml:space="preserve">✅ OK</v>
      </c>
    </row>
    <row r="10" ht="19.5" customHeight="1">
      <c r="A10" s="63" t="s">
        <v>263</v>
      </c>
      <c r="B10" s="10" t="s">
        <v>264</v>
      </c>
      <c r="C10" s="64" t="s">
        <v>265</v>
      </c>
      <c r="D10" s="65" t="s">
        <v>266</v>
      </c>
      <c r="E10" s="60">
        <f aca="1">IFERROR(NETWORKDAYS(C10,IF(D10="Em aberto",TODAY(),D10)),0)</f>
        <v>2084</v>
      </c>
      <c r="F10" s="61">
        <f aca="1">IFERROR(DATEDIF(C10,IF(D10="Em aberto",TODAY(),D10),"M"),0)</f>
        <v>95</v>
      </c>
      <c r="G10" s="62">
        <f aca="1">IFERROR(DATEDIF(C10,IF(D10="Em aberto",TODAY(),D10),"Y"),0)</f>
        <v>7</v>
      </c>
      <c r="H10" s="32" t="str">
        <f aca="1">IF(D10="Em aberto","✅ Ativo",IF(D10&lt;TODAY(),"🔴 VENCIDO",IF(D10-TODAY()&lt;=30,"🟡 Vence em 30d","🟢 Vigente")))</f>
        <v xml:space="preserve">✅ Ativo</v>
      </c>
      <c r="I10" s="32" t="str">
        <f aca="1">IF(D10="Em aberto","—",IF(D10&lt;TODAY(),"⚠️ VENCIDO",IF(D10-TODAY()&lt;=30,"🔔 URGENTE",IF(D10-TODAY()&lt;=90,"👁 Atenção","✅ OK"))))</f>
        <v>—</v>
      </c>
    </row>
    <row r="11" ht="19.5" customHeight="1">
      <c r="A11" s="58" t="s">
        <v>267</v>
      </c>
      <c r="B11" s="15" t="s">
        <v>268</v>
      </c>
      <c r="C11" s="59" t="s">
        <v>269</v>
      </c>
      <c r="D11" s="66" t="s">
        <v>266</v>
      </c>
      <c r="E11" s="60">
        <f aca="1">IFERROR(NETWORKDAYS(C11,IF(D11="Em aberto",TODAY(),D11)),0)</f>
        <v>1485</v>
      </c>
      <c r="F11" s="61">
        <f aca="1">IFERROR(DATEDIF(C11,IF(D11="Em aberto",TODAY(),D11),"M"),0)</f>
        <v>68</v>
      </c>
      <c r="G11" s="62">
        <f aca="1">IFERROR(DATEDIF(C11,IF(D11="Em aberto",TODAY(),D11),"Y"),0)</f>
        <v>5</v>
      </c>
      <c r="H11" s="32" t="str">
        <f aca="1">IF(D11="Em aberto","✅ Ativo",IF(D11&lt;TODAY(),"🔴 VENCIDO",IF(D11-TODAY()&lt;=30,"🟡 Vence em 30d","🟢 Vigente")))</f>
        <v xml:space="preserve">✅ Ativo</v>
      </c>
      <c r="I11" s="32" t="str">
        <f aca="1">IF(D11="Em aberto","—",IF(D11&lt;TODAY(),"⚠️ VENCIDO",IF(D11-TODAY()&lt;=30,"🔔 URGENTE",IF(D11-TODAY()&lt;=90,"👁 Atenção","✅ OK"))))</f>
        <v>—</v>
      </c>
    </row>
    <row r="12" ht="19.5" customHeight="1">
      <c r="A12" s="63" t="s">
        <v>270</v>
      </c>
      <c r="B12" s="10" t="s">
        <v>271</v>
      </c>
      <c r="C12" s="64" t="s">
        <v>272</v>
      </c>
      <c r="D12" s="65" t="s">
        <v>266</v>
      </c>
      <c r="E12" s="60">
        <f aca="1">IFERROR(NETWORKDAYS(C12,IF(D12="Em aberto",TODAY(),D12)),0)</f>
        <v>2767</v>
      </c>
      <c r="F12" s="61">
        <f aca="1">IFERROR(DATEDIF(C12,IF(D12="Em aberto",TODAY(),D12),"M"),0)</f>
        <v>127</v>
      </c>
      <c r="G12" s="62">
        <f aca="1">IFERROR(DATEDIF(C12,IF(D12="Em aberto",TODAY(),D12),"Y"),0)</f>
        <v>10</v>
      </c>
      <c r="H12" s="32" t="str">
        <f aca="1">IF(D12="Em aberto","✅ Ativo",IF(D12&lt;TODAY(),"🔴 VENCIDO",IF(D12-TODAY()&lt;=30,"🟡 Vence em 30d","🟢 Vigente")))</f>
        <v xml:space="preserve">✅ Ativo</v>
      </c>
      <c r="I12" s="32" t="str">
        <f aca="1">IF(D12="Em aberto","—",IF(D12&lt;TODAY(),"⚠️ VENCIDO",IF(D12-TODAY()&lt;=30,"🔔 URGENTE",IF(D12-TODAY()&lt;=90,"👁 Atenção","✅ OK"))))</f>
        <v>—</v>
      </c>
    </row>
    <row r="14" ht="24" customHeight="1">
      <c r="A14" s="34" t="s">
        <v>273</v>
      </c>
      <c r="B14" s="34"/>
      <c r="C14" s="34"/>
      <c r="D14" s="34"/>
      <c r="E14" s="34"/>
      <c r="F14" s="34"/>
      <c r="G14" s="34"/>
      <c r="H14" s="34"/>
      <c r="I14" s="34"/>
    </row>
    <row r="15" ht="27.75" customHeight="1">
      <c r="A15" s="35" t="s">
        <v>129</v>
      </c>
      <c r="B15" s="35" t="s">
        <v>274</v>
      </c>
      <c r="C15" s="35" t="s">
        <v>131</v>
      </c>
      <c r="D15" s="35"/>
      <c r="E15" s="35"/>
      <c r="F15" s="35"/>
      <c r="G15" s="35"/>
      <c r="H15" s="35"/>
      <c r="I15" s="35"/>
    </row>
    <row r="16" ht="31.5" customHeight="1">
      <c r="A16" s="36" t="s">
        <v>275</v>
      </c>
      <c r="B16" s="37">
        <f aca="1">NETWORKDAYS(C5,IF(D5="Em aberto",TODAY(),D5))</f>
        <v>524</v>
      </c>
      <c r="C16" s="36" t="s">
        <v>276</v>
      </c>
      <c r="D16" s="36"/>
      <c r="E16" s="36"/>
      <c r="F16" s="36"/>
      <c r="G16" s="36"/>
      <c r="H16" s="36"/>
      <c r="I16" s="36"/>
    </row>
    <row r="17" ht="31.5" customHeight="1">
      <c r="A17" s="38" t="s">
        <v>277</v>
      </c>
      <c r="B17" s="37">
        <f aca="1">IFERROR(DATEDIF(C5,IF(D5="Em aberto",TODAY(),D5),"M"),0)</f>
        <v>24</v>
      </c>
      <c r="C17" s="38" t="s">
        <v>278</v>
      </c>
      <c r="D17" s="38"/>
      <c r="E17" s="38"/>
      <c r="F17" s="38"/>
      <c r="G17" s="38"/>
      <c r="H17" s="38"/>
      <c r="I17" s="38"/>
    </row>
    <row r="18" ht="31.5" customHeight="1">
      <c r="A18" s="36" t="s">
        <v>279</v>
      </c>
      <c r="B18" s="37">
        <f aca="1">IFERROR(DATEDIF(C5,IF(D5="Em aberto",TODAY(),D5),"Y"),0)</f>
        <v>2</v>
      </c>
      <c r="C18" s="36" t="s">
        <v>280</v>
      </c>
      <c r="D18" s="36"/>
      <c r="E18" s="36"/>
      <c r="F18" s="36"/>
      <c r="G18" s="36"/>
      <c r="H18" s="36"/>
      <c r="I18" s="36"/>
    </row>
    <row r="19" ht="31.5" customHeight="1">
      <c r="A19" s="38" t="s">
        <v>281</v>
      </c>
      <c r="B19" s="37" t="str">
        <f aca="1">IF(D5="Em aberto","Ativo",IF(D5&lt;TODAY(),"VENCIDO",IF(D5-TODAY()&lt;=30,"VENCE EM 30 DIAS","Vigente")))</f>
        <v xml:space="preserve">VENCE EM 30 DIAS</v>
      </c>
      <c r="C19" s="38" t="s">
        <v>282</v>
      </c>
      <c r="D19" s="38"/>
      <c r="E19" s="38"/>
      <c r="F19" s="38"/>
      <c r="G19" s="38"/>
      <c r="H19" s="38"/>
      <c r="I19" s="38"/>
    </row>
    <row r="20" ht="31.5" customHeight="1">
      <c r="A20" s="36" t="s">
        <v>283</v>
      </c>
      <c r="B20" s="37" t="str">
        <f aca="1">IF(D5&lt;&gt;"Em aberto",IF(D5-TODAY()&lt;=30,"⚠️ URGENTE",IF(D5-TODAY()&lt;=90,"🔔 Atenção","✅ OK")),"—")</f>
        <v xml:space="preserve">⚠️ URGENTE</v>
      </c>
      <c r="C20" s="36" t="s">
        <v>284</v>
      </c>
      <c r="D20" s="36"/>
      <c r="E20" s="36"/>
      <c r="F20" s="36"/>
      <c r="G20" s="36"/>
      <c r="H20" s="36"/>
      <c r="I20" s="36"/>
    </row>
  </sheetData>
  <mergeCells count="10">
    <mergeCell ref="A1:I1"/>
    <mergeCell ref="A2:I2"/>
    <mergeCell ref="A3:I3"/>
    <mergeCell ref="A14:I14"/>
    <mergeCell ref="C15:I15"/>
    <mergeCell ref="C16:I16"/>
    <mergeCell ref="C17:I17"/>
    <mergeCell ref="C18:I18"/>
    <mergeCell ref="C19:I19"/>
    <mergeCell ref="C20:I20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18"/>
    <col collapsed="0" customWidth="1" hidden="0" min="2" max="2" outlineLevel="0" style="1" width="42"/>
    <col collapsed="0" customWidth="1" hidden="0" min="3" max="3" outlineLevel="0" style="1" width="22"/>
    <col collapsed="0" customWidth="1" hidden="0" min="4" max="7" outlineLevel="0" style="1" width="16"/>
    <col collapsed="0" customWidth="1" hidden="0" min="8" max="8" outlineLevel="0" style="1" width="28"/>
  </cols>
  <sheetData>
    <row r="1" ht="36" customHeight="1">
      <c r="A1" s="20" t="s">
        <v>285</v>
      </c>
      <c r="B1" s="20"/>
      <c r="C1" s="20"/>
      <c r="D1" s="20"/>
      <c r="E1" s="20"/>
      <c r="F1" s="20"/>
      <c r="G1" s="20"/>
      <c r="H1" s="20"/>
    </row>
    <row r="2" ht="36" customHeight="1">
      <c r="A2" s="21" t="s">
        <v>286</v>
      </c>
      <c r="B2" s="21"/>
      <c r="C2" s="21"/>
      <c r="D2" s="21"/>
      <c r="E2" s="21"/>
      <c r="F2" s="21"/>
      <c r="G2" s="21"/>
      <c r="H2" s="21"/>
    </row>
    <row r="3" ht="24" customHeight="1">
      <c r="A3" s="67" t="s">
        <v>287</v>
      </c>
      <c r="B3" s="67"/>
      <c r="C3" s="67"/>
      <c r="D3" s="67"/>
      <c r="E3" s="67"/>
      <c r="F3" s="67"/>
      <c r="G3" s="67"/>
      <c r="H3" s="67"/>
    </row>
    <row r="4" ht="27.75" customHeight="1">
      <c r="A4" s="68" t="s">
        <v>104</v>
      </c>
      <c r="B4" s="68" t="s">
        <v>288</v>
      </c>
      <c r="C4" s="68" t="s">
        <v>289</v>
      </c>
      <c r="D4" s="68" t="s">
        <v>290</v>
      </c>
      <c r="E4" s="68" t="s">
        <v>291</v>
      </c>
      <c r="F4" s="68" t="s">
        <v>292</v>
      </c>
      <c r="G4" s="68" t="s">
        <v>293</v>
      </c>
    </row>
    <row r="5" ht="18" customHeight="1">
      <c r="A5" s="14">
        <v>1</v>
      </c>
      <c r="B5" s="69" t="s">
        <v>294</v>
      </c>
      <c r="C5" s="70" t="s">
        <v>295</v>
      </c>
      <c r="D5" s="70" t="s">
        <v>296</v>
      </c>
      <c r="E5" s="70" t="s">
        <v>297</v>
      </c>
      <c r="F5" s="14" t="s">
        <v>298</v>
      </c>
      <c r="G5" s="70" t="s">
        <v>299</v>
      </c>
    </row>
    <row r="6" ht="18" customHeight="1">
      <c r="A6" s="17">
        <v>2</v>
      </c>
      <c r="B6" s="71" t="s">
        <v>300</v>
      </c>
      <c r="C6" s="72" t="s">
        <v>301</v>
      </c>
      <c r="D6" s="72" t="s">
        <v>302</v>
      </c>
      <c r="E6" s="72" t="s">
        <v>303</v>
      </c>
      <c r="F6" s="17" t="s">
        <v>304</v>
      </c>
      <c r="G6" s="72" t="s">
        <v>305</v>
      </c>
    </row>
    <row r="7" ht="18" customHeight="1">
      <c r="A7" s="14">
        <v>3</v>
      </c>
      <c r="B7" s="69" t="s">
        <v>306</v>
      </c>
      <c r="C7" s="70" t="s">
        <v>307</v>
      </c>
      <c r="D7" s="70" t="s">
        <v>308</v>
      </c>
      <c r="E7" s="70" t="s">
        <v>309</v>
      </c>
      <c r="F7" s="14" t="s">
        <v>310</v>
      </c>
      <c r="G7" s="70" t="s">
        <v>311</v>
      </c>
    </row>
    <row r="8" ht="18" customHeight="1">
      <c r="A8" s="17">
        <v>4</v>
      </c>
      <c r="B8" s="71" t="s">
        <v>312</v>
      </c>
      <c r="C8" s="72" t="s">
        <v>313</v>
      </c>
      <c r="D8" s="72" t="s">
        <v>314</v>
      </c>
      <c r="E8" s="72" t="s">
        <v>315</v>
      </c>
      <c r="F8" s="17" t="s">
        <v>316</v>
      </c>
      <c r="G8" s="72" t="s">
        <v>317</v>
      </c>
    </row>
    <row r="9" ht="18" customHeight="1">
      <c r="A9" s="14">
        <v>5</v>
      </c>
      <c r="B9" s="69" t="s">
        <v>318</v>
      </c>
      <c r="C9" s="70" t="s">
        <v>319</v>
      </c>
      <c r="D9" s="70" t="s">
        <v>320</v>
      </c>
      <c r="E9" s="70" t="s">
        <v>321</v>
      </c>
      <c r="F9" s="14" t="s">
        <v>322</v>
      </c>
      <c r="G9" s="70" t="s">
        <v>323</v>
      </c>
    </row>
    <row r="10" ht="18" customHeight="1">
      <c r="A10" s="17">
        <v>6</v>
      </c>
      <c r="B10" s="71" t="s">
        <v>324</v>
      </c>
      <c r="C10" s="72" t="s">
        <v>325</v>
      </c>
      <c r="D10" s="72" t="s">
        <v>326</v>
      </c>
      <c r="E10" s="72" t="s">
        <v>327</v>
      </c>
      <c r="F10" s="17" t="s">
        <v>328</v>
      </c>
      <c r="G10" s="72" t="s">
        <v>329</v>
      </c>
    </row>
    <row r="12" ht="24" customHeight="1">
      <c r="A12" s="27" t="s">
        <v>330</v>
      </c>
      <c r="B12" s="27"/>
      <c r="C12" s="27"/>
      <c r="D12" s="27"/>
      <c r="E12" s="27"/>
      <c r="F12" s="27"/>
      <c r="G12" s="27"/>
      <c r="H12" s="27"/>
    </row>
    <row r="13" ht="18" customHeight="1">
      <c r="A13" s="63">
        <v>1</v>
      </c>
      <c r="B13" s="30" t="str">
        <f>PROPER(TRIM(B5))</f>
        <v xml:space="preserve">Ana Paula Ferreira</v>
      </c>
      <c r="C13" s="30" t="str">
        <f>LOWER(TRIM(C5))</f>
        <v>ana.paula@gmail.com</v>
      </c>
      <c r="D13" s="30" t="str">
        <f>IFERROR(TEXT(VALUE(SUBSTITUTE(SUBSTITUTE(SUBSTITUTE(D5,".",""),"-","")," ","")), "000\.000\.000\-00"),D5)</f>
        <v>123.456.789-00</v>
      </c>
      <c r="E13" s="30" t="str">
        <f>SUBSTITUTE(SUBSTITUTE(SUBSTITUTE(SUBSTITUTE(SUBSTITUTE(E5,"(",""),")",""),"-","")," ",""),".","")</f>
        <v>11987654321</v>
      </c>
      <c r="F13" s="30" t="str">
        <f>UPPER(TRIM(F5))</f>
        <v>SP</v>
      </c>
      <c r="G13" s="30" t="str">
        <f>IFERROR(TEXT(VALUE(SUBSTITUTE(SUBSTITUTE(G5,"-","")," ","")), "00000\-000"),G5)</f>
        <v>01310-100</v>
      </c>
    </row>
    <row r="14" ht="18" customHeight="1">
      <c r="A14" s="63">
        <v>2</v>
      </c>
      <c r="B14" s="30" t="str">
        <f>PROPER(TRIM(B6))</f>
        <v xml:space="preserve">Carlos Eduardo Lima</v>
      </c>
      <c r="C14" s="30" t="str">
        <f>LOWER(TRIM(C6))</f>
        <v>carlos@empresa.com.br</v>
      </c>
      <c r="D14" s="30" t="str">
        <f>IFERROR(TEXT(VALUE(SUBSTITUTE(SUBSTITUTE(SUBSTITUTE(D6,".",""),"-","")," ","")), "000\.000\.000\-00"),D6)</f>
        <v>987.654.321-00</v>
      </c>
      <c r="E14" s="30" t="str">
        <f>SUBSTITUTE(SUBSTITUTE(SUBSTITUTE(SUBSTITUTE(SUBSTITUTE(E6,"(",""),")",""),"-","")," ",""),".","")</f>
        <v>11988887777</v>
      </c>
      <c r="F14" s="30" t="str">
        <f>UPPER(TRIM(F6))</f>
        <v>SP</v>
      </c>
      <c r="G14" s="30" t="str">
        <f>IFERROR(TEXT(VALUE(SUBSTITUTE(SUBSTITUTE(G6,"-","")," ","")), "00000\-000"),G6)</f>
        <v>04567-200</v>
      </c>
    </row>
    <row r="15" ht="18" customHeight="1">
      <c r="A15" s="63">
        <v>3</v>
      </c>
      <c r="B15" s="30" t="str">
        <f>PROPER(TRIM(B7))</f>
        <v xml:space="preserve">Fernanda Da Costa</v>
      </c>
      <c r="C15" s="30" t="str">
        <f>LOWER(TRIM(C7))</f>
        <v>fernanda@yahoo.com</v>
      </c>
      <c r="D15" s="30" t="str">
        <f>IFERROR(TEXT(VALUE(SUBSTITUTE(SUBSTITUTE(SUBSTITUTE(D7,".",""),"-","")," ","")), "000\.000\.000\-00"),D7)</f>
        <v>111.222.333-44</v>
      </c>
      <c r="E15" s="30" t="str">
        <f>SUBSTITUTE(SUBSTITUTE(SUBSTITUTE(SUBSTITUTE(SUBSTITUTE(E7,"(",""),")",""),"-","")," ",""),".","")</f>
        <v>21976543210</v>
      </c>
      <c r="F15" s="30" t="str">
        <f>UPPER(TRIM(F7))</f>
        <v>RJ</v>
      </c>
      <c r="G15" s="30" t="str">
        <f>IFERROR(TEXT(VALUE(SUBSTITUTE(SUBSTITUTE(G7,"-","")," ","")), "00000\-000"),G7)</f>
        <v>20040-020</v>
      </c>
    </row>
    <row r="16" ht="18" customHeight="1">
      <c r="A16" s="63">
        <v>4</v>
      </c>
      <c r="B16" s="30" t="str">
        <f>PROPER(TRIM(B8))</f>
        <v xml:space="preserve">Roberto Silva</v>
      </c>
      <c r="C16" s="30" t="str">
        <f>LOWER(TRIM(C8))</f>
        <v>roberto.silva@hotmail</v>
      </c>
      <c r="D16" s="30" t="str">
        <f>IFERROR(TEXT(VALUE(SUBSTITUTE(SUBSTITUTE(SUBSTITUTE(D8,".",""),"-","")," ","")), "000\.000\.000\-00"),D8)</f>
        <v>222.333.444-55</v>
      </c>
      <c r="E16" s="30" t="str">
        <f>SUBSTITUTE(SUBSTITUTE(SUBSTITUTE(SUBSTITUTE(SUBSTITUTE(E8,"(",""),")",""),"-","")," ",""),".","")</f>
        <v>21987654321</v>
      </c>
      <c r="F16" s="30" t="str">
        <f>UPPER(TRIM(F8))</f>
        <v>RJ</v>
      </c>
      <c r="G16" s="30" t="str">
        <f>IFERROR(TEXT(VALUE(SUBSTITUTE(SUBSTITUTE(G8,"-","")," ","")), "00000\-000"),G8)</f>
        <v>22041-001</v>
      </c>
    </row>
    <row r="17" ht="18" customHeight="1">
      <c r="A17" s="63">
        <v>5</v>
      </c>
      <c r="B17" s="30" t="str">
        <f>PROPER(TRIM(B9))</f>
        <v xml:space="preserve">Juliana Mendes</v>
      </c>
      <c r="C17" s="30" t="str">
        <f>LOWER(TRIM(C9))</f>
        <v>juliana@empresa.com.br</v>
      </c>
      <c r="D17" s="30" t="str">
        <f>IFERROR(TEXT(VALUE(SUBSTITUTE(SUBSTITUTE(SUBSTITUTE(D9,".",""),"-","")," ","")), "000\.000\.000\-00"),D9)</f>
        <v>333.444.555-66</v>
      </c>
      <c r="E17" s="30" t="str">
        <f>SUBSTITUTE(SUBSTITUTE(SUBSTITUTE(SUBSTITUTE(SUBSTITUTE(E9,"(",""),")",""),"-","")," ",""),".","")</f>
        <v>3133334444</v>
      </c>
      <c r="F17" s="30" t="str">
        <f>UPPER(TRIM(F9))</f>
        <v>MG</v>
      </c>
      <c r="G17" s="30" t="str">
        <f>IFERROR(TEXT(VALUE(SUBSTITUTE(SUBSTITUTE(G9,"-","")," ","")), "00000\-000"),G9)</f>
        <v>30130-010</v>
      </c>
    </row>
    <row r="18" ht="18" customHeight="1">
      <c r="A18" s="63">
        <v>6</v>
      </c>
      <c r="B18" s="30" t="str">
        <f>PROPER(TRIM(B10))</f>
        <v xml:space="preserve">Marcos Antonio Souza</v>
      </c>
      <c r="C18" s="30" t="str">
        <f>LOWER(TRIM(C10))</f>
        <v>marcos@gmail.com</v>
      </c>
      <c r="D18" s="30" t="str">
        <f>IFERROR(TEXT(VALUE(SUBSTITUTE(SUBSTITUTE(SUBSTITUTE(D10,".",""),"-","")," ","")), "000\.000\.000\-00"),D10)</f>
        <v>444.555.666-77</v>
      </c>
      <c r="E18" s="30" t="str">
        <f>SUBSTITUTE(SUBSTITUTE(SUBSTITUTE(SUBSTITUTE(SUBSTITUTE(E10,"(",""),")",""),"-","")," ",""),".","")</f>
        <v>31999998888</v>
      </c>
      <c r="F18" s="30" t="str">
        <f>UPPER(TRIM(F10))</f>
        <v>MG</v>
      </c>
      <c r="G18" s="30" t="str">
        <f>IFERROR(TEXT(VALUE(SUBSTITUTE(SUBSTITUTE(G10,"-","")," ","")), "00000\-000"),G10)</f>
        <v>31270-901</v>
      </c>
    </row>
    <row r="22" ht="24" customHeight="1">
      <c r="A22" s="34" t="s">
        <v>331</v>
      </c>
      <c r="B22" s="34"/>
      <c r="C22" s="34"/>
      <c r="D22" s="34"/>
      <c r="E22" s="34"/>
      <c r="F22" s="34"/>
      <c r="G22" s="34"/>
      <c r="H22" s="34"/>
    </row>
    <row r="23" ht="27.75" customHeight="1">
      <c r="A23" s="35" t="s">
        <v>129</v>
      </c>
      <c r="B23" s="35" t="s">
        <v>332</v>
      </c>
      <c r="C23" s="35" t="s">
        <v>131</v>
      </c>
      <c r="D23" s="35"/>
      <c r="E23" s="35"/>
      <c r="F23" s="35"/>
      <c r="G23" s="35"/>
      <c r="H23" s="35"/>
    </row>
    <row r="24" ht="31.5" customHeight="1">
      <c r="A24" s="36" t="s">
        <v>333</v>
      </c>
      <c r="B24" s="37" t="str">
        <f>PROPER(TRIM(B5))</f>
        <v xml:space="preserve">Ana Paula Ferreira</v>
      </c>
      <c r="C24" s="73" t="s">
        <v>334</v>
      </c>
      <c r="D24" s="73"/>
      <c r="E24" s="73"/>
      <c r="F24" s="73"/>
      <c r="G24" s="73"/>
      <c r="H24" s="73"/>
    </row>
    <row r="25" ht="31.5" customHeight="1">
      <c r="A25" s="38" t="s">
        <v>335</v>
      </c>
      <c r="B25" s="37" t="str">
        <f>LOWER(TRIM(C5))</f>
        <v>ana.paula@gmail.com</v>
      </c>
      <c r="C25" s="74" t="s">
        <v>336</v>
      </c>
      <c r="D25" s="74"/>
      <c r="E25" s="74"/>
      <c r="F25" s="74"/>
      <c r="G25" s="74"/>
      <c r="H25" s="74"/>
    </row>
    <row r="26" ht="31.5" customHeight="1">
      <c r="A26" s="36" t="s">
        <v>337</v>
      </c>
      <c r="B26" s="37" t="str">
        <f>TEXT(VALUE(SUBSTITUTE(SUBSTITUTE(SUBSTITUTE(D5,".",""),"-","")," ","")),"000\.000\.000\-00")</f>
        <v>123.456.789-00</v>
      </c>
      <c r="C26" s="73" t="s">
        <v>338</v>
      </c>
      <c r="D26" s="73"/>
      <c r="E26" s="73"/>
      <c r="F26" s="73"/>
      <c r="G26" s="73"/>
      <c r="H26" s="73"/>
    </row>
    <row r="27" ht="31.5" customHeight="1">
      <c r="A27" s="38" t="s">
        <v>339</v>
      </c>
      <c r="B27" s="37" t="str">
        <f>SUBSTITUTE(SUBSTITUTE(SUBSTITUTE(SUBSTITUTE(SUBSTITUTE(E5,"(",""),")",""),"-","")," ",""),".","")</f>
        <v>11987654321</v>
      </c>
      <c r="C27" s="74" t="s">
        <v>340</v>
      </c>
      <c r="D27" s="74"/>
      <c r="E27" s="74"/>
      <c r="F27" s="74"/>
      <c r="G27" s="74"/>
      <c r="H27" s="74"/>
    </row>
    <row r="28" ht="31.5" customHeight="1">
      <c r="A28" s="36" t="s">
        <v>341</v>
      </c>
      <c r="B28" s="37" t="str">
        <f>UPPER(TRIM(F5))</f>
        <v>SP</v>
      </c>
      <c r="C28" s="73" t="s">
        <v>342</v>
      </c>
      <c r="D28" s="73"/>
      <c r="E28" s="73"/>
      <c r="F28" s="73"/>
      <c r="G28" s="73"/>
      <c r="H28" s="73"/>
    </row>
    <row r="29" ht="31.5" customHeight="1">
      <c r="A29" s="38" t="s">
        <v>343</v>
      </c>
      <c r="B29" s="37" t="str">
        <f>TEXT(VALUE(SUBSTITUTE(SUBSTITUTE(G5,"-","")," ","")),"00000\-000")</f>
        <v>01310-100</v>
      </c>
      <c r="C29" s="74" t="s">
        <v>344</v>
      </c>
      <c r="D29" s="74"/>
      <c r="E29" s="74"/>
      <c r="F29" s="74"/>
      <c r="G29" s="74"/>
      <c r="H29" s="74"/>
    </row>
  </sheetData>
  <mergeCells count="12">
    <mergeCell ref="A1:H1"/>
    <mergeCell ref="A2:H2"/>
    <mergeCell ref="A3:H3"/>
    <mergeCell ref="A12:H12"/>
    <mergeCell ref="A22:H22"/>
    <mergeCell ref="C23:H23"/>
    <mergeCell ref="C24:H24"/>
    <mergeCell ref="C25:H25"/>
    <mergeCell ref="C26:H26"/>
    <mergeCell ref="C27:H27"/>
    <mergeCell ref="C28:H28"/>
    <mergeCell ref="C29:H29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0"/>
    <col collapsed="0" customWidth="1" hidden="0" min="3" max="8" outlineLevel="0" style="1" width="14"/>
    <col collapsed="0" customWidth="1" hidden="0" min="9" max="9" outlineLevel="0" style="1" width="22"/>
  </cols>
  <sheetData>
    <row r="1" ht="36" customHeight="1">
      <c r="A1" s="20" t="s">
        <v>345</v>
      </c>
      <c r="B1" s="20"/>
      <c r="C1" s="20"/>
      <c r="D1" s="20"/>
      <c r="E1" s="20"/>
      <c r="F1" s="20"/>
      <c r="G1" s="20"/>
      <c r="H1" s="20"/>
      <c r="I1" s="20"/>
    </row>
    <row r="2" ht="36" customHeight="1">
      <c r="A2" s="21" t="s">
        <v>346</v>
      </c>
      <c r="B2" s="21"/>
      <c r="C2" s="21"/>
      <c r="D2" s="21"/>
      <c r="E2" s="21"/>
      <c r="F2" s="21"/>
      <c r="G2" s="21"/>
      <c r="H2" s="21"/>
      <c r="I2" s="21"/>
    </row>
    <row r="3" ht="24" customHeight="1">
      <c r="A3" s="22" t="s">
        <v>347</v>
      </c>
      <c r="B3" s="22"/>
      <c r="C3" s="22"/>
      <c r="D3" s="22"/>
      <c r="E3" s="22"/>
    </row>
    <row r="4" ht="27.75" customHeight="1">
      <c r="A4" s="4" t="s">
        <v>348</v>
      </c>
      <c r="B4" s="4" t="s">
        <v>349</v>
      </c>
      <c r="C4" s="4" t="s">
        <v>350</v>
      </c>
      <c r="D4" s="4" t="s">
        <v>351</v>
      </c>
      <c r="E4" s="4" t="s">
        <v>352</v>
      </c>
    </row>
    <row r="5" ht="19.5" customHeight="1">
      <c r="A5" s="75" t="s">
        <v>353</v>
      </c>
      <c r="B5" s="14" t="s">
        <v>354</v>
      </c>
      <c r="C5" s="14" t="s">
        <v>355</v>
      </c>
      <c r="D5" s="14" t="s">
        <v>356</v>
      </c>
      <c r="E5" s="14" t="s">
        <v>354</v>
      </c>
    </row>
    <row r="6" ht="19.5" customHeight="1">
      <c r="A6" s="76" t="s">
        <v>357</v>
      </c>
      <c r="B6" s="8" t="s">
        <v>358</v>
      </c>
      <c r="C6" s="8" t="s">
        <v>359</v>
      </c>
      <c r="D6" s="8" t="s">
        <v>360</v>
      </c>
      <c r="E6" s="8" t="s">
        <v>361</v>
      </c>
    </row>
    <row r="7" ht="19.5" customHeight="1">
      <c r="A7" s="77" t="s">
        <v>362</v>
      </c>
      <c r="B7" s="14" t="s">
        <v>363</v>
      </c>
      <c r="C7" s="14" t="s">
        <v>364</v>
      </c>
      <c r="D7" s="14" t="s">
        <v>365</v>
      </c>
      <c r="E7" s="14" t="s">
        <v>366</v>
      </c>
    </row>
    <row r="8" ht="19.5" customHeight="1">
      <c r="A8" s="78" t="s">
        <v>367</v>
      </c>
      <c r="B8" s="8" t="s">
        <v>368</v>
      </c>
      <c r="C8" s="8" t="s">
        <v>369</v>
      </c>
      <c r="D8" s="8" t="s">
        <v>370</v>
      </c>
      <c r="E8" s="8" t="s">
        <v>371</v>
      </c>
    </row>
    <row r="9" ht="19.5" customHeight="1">
      <c r="A9" s="79" t="s">
        <v>372</v>
      </c>
      <c r="B9" s="14" t="s">
        <v>373</v>
      </c>
      <c r="C9" s="14" t="s">
        <v>195</v>
      </c>
      <c r="D9" s="14" t="s">
        <v>374</v>
      </c>
      <c r="E9" s="14" t="s">
        <v>355</v>
      </c>
    </row>
    <row r="11" ht="24" customHeight="1">
      <c r="A11" s="34" t="s">
        <v>375</v>
      </c>
      <c r="B11" s="34"/>
      <c r="C11" s="34"/>
      <c r="D11" s="34"/>
      <c r="E11" s="34"/>
    </row>
    <row r="12" ht="27.75" customHeight="1">
      <c r="A12" s="35" t="s">
        <v>376</v>
      </c>
      <c r="B12" s="35" t="s">
        <v>351</v>
      </c>
      <c r="C12" s="35" t="s">
        <v>377</v>
      </c>
    </row>
    <row r="13" ht="18" customHeight="1">
      <c r="A13" s="80">
        <v>0</v>
      </c>
      <c r="B13" s="81">
        <v>0.029999999999999999</v>
      </c>
      <c r="C13" s="80">
        <v>0</v>
      </c>
    </row>
    <row r="14" ht="18" customHeight="1">
      <c r="A14" s="82">
        <v>10001</v>
      </c>
      <c r="B14" s="83">
        <v>0.050000000000000003</v>
      </c>
      <c r="C14" s="82">
        <v>500</v>
      </c>
    </row>
    <row r="15" ht="18" customHeight="1">
      <c r="A15" s="80">
        <v>25001</v>
      </c>
      <c r="B15" s="81">
        <v>0.074999999999999997</v>
      </c>
      <c r="C15" s="80">
        <v>1500</v>
      </c>
    </row>
    <row r="16" ht="18" customHeight="1">
      <c r="A16" s="82">
        <v>50001</v>
      </c>
      <c r="B16" s="83">
        <v>0.10000000000000001</v>
      </c>
      <c r="C16" s="82">
        <v>4000</v>
      </c>
    </row>
    <row r="17" ht="18" customHeight="1">
      <c r="A17" s="80">
        <v>100001</v>
      </c>
      <c r="B17" s="81">
        <v>0.13</v>
      </c>
      <c r="C17" s="80">
        <v>10000</v>
      </c>
    </row>
    <row r="19" ht="24" customHeight="1">
      <c r="A19" s="27" t="s">
        <v>378</v>
      </c>
      <c r="B19" s="27"/>
      <c r="C19" s="27"/>
      <c r="D19" s="27"/>
      <c r="E19" s="27"/>
      <c r="F19" s="27"/>
      <c r="G19" s="27"/>
      <c r="H19" s="27"/>
      <c r="I19" s="27"/>
    </row>
    <row r="20" ht="27.75" customHeight="1">
      <c r="A20" s="28" t="s">
        <v>104</v>
      </c>
      <c r="B20" s="28" t="s">
        <v>143</v>
      </c>
      <c r="C20" s="28" t="s">
        <v>379</v>
      </c>
      <c r="D20" s="28" t="s">
        <v>380</v>
      </c>
      <c r="E20" s="28" t="s">
        <v>381</v>
      </c>
      <c r="F20" s="28" t="s">
        <v>348</v>
      </c>
      <c r="G20" s="28" t="s">
        <v>351</v>
      </c>
      <c r="H20" s="28" t="s">
        <v>382</v>
      </c>
      <c r="I20" s="28" t="s">
        <v>383</v>
      </c>
    </row>
    <row r="21" ht="19.5" customHeight="1">
      <c r="A21" s="14" t="s">
        <v>384</v>
      </c>
      <c r="B21" s="15" t="s">
        <v>152</v>
      </c>
      <c r="C21" s="25">
        <v>30000</v>
      </c>
      <c r="D21" s="25">
        <v>27500</v>
      </c>
      <c r="E21" s="84">
        <f>IFERROR(D21/C21,0)</f>
        <v>0.91666666666666696</v>
      </c>
      <c r="F21" s="32" t="str">
        <f>IF(D21&gt;=100001,"Diamante",IF(D21&gt;=50001,"Platina",IF(D21&gt;=25001,"Ouro",IF(D21&gt;=10001,"Prata","Bronze"))))</f>
        <v>Ouro</v>
      </c>
      <c r="G21" s="84">
        <f>VLOOKUP(D21,$A$13:$C$17,2,TRUE())</f>
        <v>0.074999999999999997</v>
      </c>
      <c r="H21" s="46">
        <f>D21*G21</f>
        <v>2062.5</v>
      </c>
      <c r="I21" s="31">
        <f>VLOOKUP(D21,$A$13:$C$17,3,TRUE())</f>
        <v>1500</v>
      </c>
    </row>
    <row r="22" ht="19.5" customHeight="1">
      <c r="A22" s="8" t="s">
        <v>385</v>
      </c>
      <c r="B22" s="10" t="s">
        <v>158</v>
      </c>
      <c r="C22" s="25">
        <v>30000</v>
      </c>
      <c r="D22" s="25">
        <v>52300</v>
      </c>
      <c r="E22" s="84">
        <f>IFERROR(D22/C22,0)</f>
        <v>1.7433333333333301</v>
      </c>
      <c r="F22" s="32" t="str">
        <f>IF(D22&gt;=100001,"Diamante",IF(D22&gt;=50001,"Platina",IF(D22&gt;=25001,"Ouro",IF(D22&gt;=10001,"Prata","Bronze"))))</f>
        <v>Platina</v>
      </c>
      <c r="G22" s="84">
        <f>VLOOKUP(D22,$A$13:$C$17,2,TRUE())</f>
        <v>0.10000000000000001</v>
      </c>
      <c r="H22" s="46">
        <f>D22*G22</f>
        <v>5230</v>
      </c>
      <c r="I22" s="31">
        <f>VLOOKUP(D22,$A$13:$C$17,3,TRUE())</f>
        <v>4000</v>
      </c>
    </row>
    <row r="23" ht="19.5" customHeight="1">
      <c r="A23" s="14" t="s">
        <v>386</v>
      </c>
      <c r="B23" s="15" t="s">
        <v>162</v>
      </c>
      <c r="C23" s="25">
        <v>30000</v>
      </c>
      <c r="D23" s="25">
        <v>8900</v>
      </c>
      <c r="E23" s="84">
        <f>IFERROR(D23/C23,0)</f>
        <v>0.29666666666666702</v>
      </c>
      <c r="F23" s="32" t="str">
        <f>IF(D23&gt;=100001,"Diamante",IF(D23&gt;=50001,"Platina",IF(D23&gt;=25001,"Ouro",IF(D23&gt;=10001,"Prata","Bronze"))))</f>
        <v>Bronze</v>
      </c>
      <c r="G23" s="84">
        <f>VLOOKUP(D23,$A$13:$C$17,2,TRUE())</f>
        <v>0.029999999999999999</v>
      </c>
      <c r="H23" s="46">
        <f>D23*G23</f>
        <v>267</v>
      </c>
      <c r="I23" s="31">
        <f>VLOOKUP(D23,$A$13:$C$17,3,TRUE())</f>
        <v>0</v>
      </c>
    </row>
    <row r="24" ht="19.5" customHeight="1">
      <c r="A24" s="8" t="s">
        <v>387</v>
      </c>
      <c r="B24" s="10" t="s">
        <v>120</v>
      </c>
      <c r="C24" s="25">
        <v>30000</v>
      </c>
      <c r="D24" s="25">
        <v>105000</v>
      </c>
      <c r="E24" s="84">
        <f>IFERROR(D24/C24,0)</f>
        <v>3.5</v>
      </c>
      <c r="F24" s="32" t="str">
        <f>IF(D24&gt;=100001,"Diamante",IF(D24&gt;=50001,"Platina",IF(D24&gt;=25001,"Ouro",IF(D24&gt;=10001,"Prata","Bronze"))))</f>
        <v>Diamante</v>
      </c>
      <c r="G24" s="84">
        <f>VLOOKUP(D24,$A$13:$C$17,2,TRUE())</f>
        <v>0.13</v>
      </c>
      <c r="H24" s="46">
        <f>D24*G24</f>
        <v>13650</v>
      </c>
      <c r="I24" s="31">
        <f>VLOOKUP(D24,$A$13:$C$17,3,TRUE())</f>
        <v>10000</v>
      </c>
    </row>
    <row r="25" ht="19.5" customHeight="1">
      <c r="A25" s="14" t="s">
        <v>388</v>
      </c>
      <c r="B25" s="15" t="s">
        <v>170</v>
      </c>
      <c r="C25" s="25">
        <v>30000</v>
      </c>
      <c r="D25" s="25">
        <v>24700</v>
      </c>
      <c r="E25" s="84">
        <f>IFERROR(D25/C25,0)</f>
        <v>0.82333333333333303</v>
      </c>
      <c r="F25" s="32" t="str">
        <f>IF(D25&gt;=100001,"Diamante",IF(D25&gt;=50001,"Platina",IF(D25&gt;=25001,"Ouro",IF(D25&gt;=10001,"Prata","Bronze"))))</f>
        <v>Prata</v>
      </c>
      <c r="G25" s="84">
        <f>VLOOKUP(D25,$A$13:$C$17,2,TRUE())</f>
        <v>0.050000000000000003</v>
      </c>
      <c r="H25" s="46">
        <f>D25*G25</f>
        <v>1235</v>
      </c>
      <c r="I25" s="31">
        <f>VLOOKUP(D25,$A$13:$C$17,3,TRUE())</f>
        <v>500</v>
      </c>
    </row>
    <row r="26" ht="19.5" customHeight="1">
      <c r="A26" s="8" t="s">
        <v>389</v>
      </c>
      <c r="B26" s="10" t="s">
        <v>390</v>
      </c>
      <c r="C26" s="25">
        <v>30000</v>
      </c>
      <c r="D26" s="25">
        <v>38600</v>
      </c>
      <c r="E26" s="84">
        <f>IFERROR(D26/C26,0)</f>
        <v>1.28666666666667</v>
      </c>
      <c r="F26" s="32" t="str">
        <f>IF(D26&gt;=100001,"Diamante",IF(D26&gt;=50001,"Platina",IF(D26&gt;=25001,"Ouro",IF(D26&gt;=10001,"Prata","Bronze"))))</f>
        <v>Ouro</v>
      </c>
      <c r="G26" s="84">
        <f>VLOOKUP(D26,$A$13:$C$17,2,TRUE())</f>
        <v>0.074999999999999997</v>
      </c>
      <c r="H26" s="46">
        <f>D26*G26</f>
        <v>2895</v>
      </c>
      <c r="I26" s="31">
        <f>VLOOKUP(D26,$A$13:$C$17,3,TRUE())</f>
        <v>1500</v>
      </c>
    </row>
    <row r="27" ht="19.5" customHeight="1">
      <c r="A27" s="14" t="s">
        <v>391</v>
      </c>
      <c r="B27" s="15" t="s">
        <v>392</v>
      </c>
      <c r="C27" s="25">
        <v>30000</v>
      </c>
      <c r="D27" s="25">
        <v>15200</v>
      </c>
      <c r="E27" s="84">
        <f>IFERROR(D27/C27,0)</f>
        <v>0.50666666666666704</v>
      </c>
      <c r="F27" s="32" t="str">
        <f>IF(D27&gt;=100001,"Diamante",IF(D27&gt;=50001,"Platina",IF(D27&gt;=25001,"Ouro",IF(D27&gt;=10001,"Prata","Bronze"))))</f>
        <v>Prata</v>
      </c>
      <c r="G27" s="84">
        <f>VLOOKUP(D27,$A$13:$C$17,2,TRUE())</f>
        <v>0.050000000000000003</v>
      </c>
      <c r="H27" s="46">
        <f>D27*G27</f>
        <v>760</v>
      </c>
      <c r="I27" s="31">
        <f>VLOOKUP(D27,$A$13:$C$17,3,TRUE())</f>
        <v>500</v>
      </c>
    </row>
    <row r="29" ht="24" customHeight="1">
      <c r="A29" s="34" t="s">
        <v>393</v>
      </c>
      <c r="B29" s="34"/>
      <c r="C29" s="34"/>
      <c r="D29" s="34"/>
      <c r="E29" s="34"/>
      <c r="F29" s="34"/>
      <c r="G29" s="34"/>
      <c r="H29" s="34"/>
      <c r="I29" s="34"/>
    </row>
    <row r="30" ht="27.75" customHeight="1">
      <c r="A30" s="35" t="s">
        <v>129</v>
      </c>
      <c r="B30" s="35" t="s">
        <v>274</v>
      </c>
      <c r="C30" s="35" t="s">
        <v>131</v>
      </c>
      <c r="D30" s="35"/>
      <c r="E30" s="35"/>
      <c r="F30" s="35"/>
      <c r="G30" s="35"/>
      <c r="H30" s="35"/>
      <c r="I30" s="35"/>
    </row>
    <row r="31" ht="27.75" customHeight="1">
      <c r="A31" s="38" t="s">
        <v>394</v>
      </c>
      <c r="B31" s="37" t="s">
        <v>395</v>
      </c>
      <c r="C31" s="74" t="s">
        <v>396</v>
      </c>
      <c r="D31" s="74"/>
      <c r="E31" s="74"/>
      <c r="F31" s="74"/>
      <c r="G31" s="74"/>
      <c r="H31" s="74"/>
      <c r="I31" s="74"/>
    </row>
    <row r="32" ht="27.75" customHeight="1">
      <c r="A32" s="36" t="s">
        <v>397</v>
      </c>
      <c r="B32" s="37" t="s">
        <v>398</v>
      </c>
      <c r="C32" s="73" t="s">
        <v>399</v>
      </c>
      <c r="D32" s="73"/>
      <c r="E32" s="73"/>
      <c r="F32" s="73"/>
      <c r="G32" s="73"/>
      <c r="H32" s="73"/>
      <c r="I32" s="73"/>
    </row>
    <row r="33" ht="27.75" customHeight="1">
      <c r="A33" s="38" t="s">
        <v>400</v>
      </c>
      <c r="B33" s="37" t="s">
        <v>401</v>
      </c>
      <c r="C33" s="74" t="s">
        <v>402</v>
      </c>
      <c r="D33" s="74"/>
      <c r="E33" s="74"/>
      <c r="F33" s="74"/>
      <c r="G33" s="74"/>
      <c r="H33" s="74"/>
      <c r="I33" s="74"/>
    </row>
    <row r="34" ht="27.75" customHeight="1">
      <c r="A34" s="36" t="s">
        <v>403</v>
      </c>
      <c r="B34" s="85" t="s">
        <v>404</v>
      </c>
      <c r="C34" s="73" t="s">
        <v>405</v>
      </c>
      <c r="D34" s="73"/>
      <c r="E34" s="73"/>
      <c r="F34" s="73"/>
      <c r="G34" s="73"/>
      <c r="H34" s="73"/>
      <c r="I34" s="73"/>
    </row>
    <row r="35" ht="27.75" customHeight="1">
      <c r="A35" s="38" t="s">
        <v>406</v>
      </c>
      <c r="B35" s="37" t="s">
        <v>407</v>
      </c>
      <c r="C35" s="74" t="s">
        <v>408</v>
      </c>
      <c r="D35" s="74"/>
      <c r="E35" s="74"/>
      <c r="F35" s="74"/>
      <c r="G35" s="74"/>
      <c r="H35" s="74"/>
      <c r="I35" s="74"/>
    </row>
  </sheetData>
  <mergeCells count="12">
    <mergeCell ref="A1:I1"/>
    <mergeCell ref="A2:I2"/>
    <mergeCell ref="A3:E3"/>
    <mergeCell ref="A11:E11"/>
    <mergeCell ref="A19:I19"/>
    <mergeCell ref="A29:I29"/>
    <mergeCell ref="C30:I30"/>
    <mergeCell ref="C31:I31"/>
    <mergeCell ref="C32:I32"/>
    <mergeCell ref="C33:I33"/>
    <mergeCell ref="C34:I34"/>
    <mergeCell ref="C35:I35"/>
  </mergeCells>
  <conditionalFormatting sqref="F21:F27">
    <cfRule type="cellIs" priority="2" aboveAverage="0" dxfId="0" operator="equal" rank="0" text="">
      <formula>"Diamante"</formula>
    </cfRule>
    <cfRule type="cellIs" priority="3" aboveAverage="0" dxfId="1" operator="equal" rank="0" text="">
      <formula>"Ouro"</formula>
    </cfRule>
    <cfRule type="cellIs" priority="4" aboveAverage="0" dxfId="2" operator="equal" rank="0" text="">
      <formula>"Bronze"</formula>
    </cfRule>
  </conditionalFormatting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2"/>
    <col collapsed="0" customWidth="1" hidden="0" min="3" max="8" outlineLevel="0" style="1" width="14"/>
  </cols>
  <sheetData>
    <row r="1" ht="36" customHeight="1">
      <c r="A1" s="20" t="s">
        <v>409</v>
      </c>
      <c r="B1" s="20"/>
      <c r="C1" s="20"/>
      <c r="D1" s="20"/>
      <c r="E1" s="20"/>
      <c r="F1" s="20"/>
      <c r="G1" s="20"/>
      <c r="H1" s="20"/>
    </row>
    <row r="2" ht="36" customHeight="1">
      <c r="A2" s="21" t="s">
        <v>410</v>
      </c>
      <c r="B2" s="21"/>
      <c r="C2" s="21"/>
      <c r="D2" s="21"/>
      <c r="E2" s="21"/>
      <c r="F2" s="21"/>
      <c r="G2" s="21"/>
      <c r="H2" s="21"/>
    </row>
    <row r="3" ht="24" customHeight="1">
      <c r="A3" s="22" t="s">
        <v>411</v>
      </c>
      <c r="B3" s="22"/>
      <c r="C3" s="22"/>
      <c r="D3" s="22"/>
      <c r="E3" s="22"/>
      <c r="F3" s="22"/>
      <c r="G3" s="22"/>
      <c r="H3" s="22"/>
    </row>
    <row r="4" ht="21.75" customHeight="1">
      <c r="A4" s="86" t="s">
        <v>412</v>
      </c>
      <c r="B4" s="87">
        <v>120000</v>
      </c>
      <c r="D4" s="24" t="s">
        <v>413</v>
      </c>
      <c r="E4" s="88">
        <f>PMT($B$5,$B$6,$B$4*-1)</f>
        <v>5784.2478051000999</v>
      </c>
    </row>
    <row r="5" ht="21.75" customHeight="1">
      <c r="A5" s="86" t="s">
        <v>414</v>
      </c>
      <c r="B5" s="89">
        <v>0.012</v>
      </c>
      <c r="D5" s="24" t="s">
        <v>415</v>
      </c>
      <c r="E5" s="90">
        <f>B6*PMT($B$5,$B$6,$B$4*-1)</f>
        <v>138821.947322402</v>
      </c>
    </row>
    <row r="6" ht="21.75" customHeight="1">
      <c r="A6" s="86" t="s">
        <v>416</v>
      </c>
      <c r="B6" s="91">
        <v>24</v>
      </c>
      <c r="D6" s="24" t="s">
        <v>417</v>
      </c>
      <c r="E6" s="92">
        <f>E5-B4</f>
        <v>18821.947322402299</v>
      </c>
    </row>
    <row r="7" ht="21.75" customHeight="1">
      <c r="A7" s="86" t="s">
        <v>418</v>
      </c>
      <c r="B7" s="93" t="s">
        <v>254</v>
      </c>
    </row>
    <row r="9" ht="24" customHeight="1">
      <c r="A9" s="27" t="s">
        <v>419</v>
      </c>
      <c r="B9" s="27"/>
      <c r="C9" s="27"/>
      <c r="D9" s="27"/>
      <c r="E9" s="27"/>
      <c r="F9" s="27"/>
      <c r="G9" s="27"/>
      <c r="H9" s="27"/>
    </row>
    <row r="10" ht="27.75" customHeight="1">
      <c r="A10" s="28" t="s">
        <v>420</v>
      </c>
      <c r="B10" s="28" t="s">
        <v>421</v>
      </c>
      <c r="C10" s="28" t="s">
        <v>422</v>
      </c>
      <c r="D10" s="28" t="s">
        <v>423</v>
      </c>
      <c r="E10" s="28" t="s">
        <v>424</v>
      </c>
      <c r="F10" s="28" t="s">
        <v>425</v>
      </c>
      <c r="G10" s="28" t="s">
        <v>426</v>
      </c>
    </row>
    <row r="11" ht="18" customHeight="1">
      <c r="A11" s="58">
        <v>1</v>
      </c>
      <c r="B11" s="94">
        <f>EDATE($B$7,0)</f>
        <v>46082</v>
      </c>
      <c r="C11" s="40">
        <f>$B$4</f>
        <v>120000</v>
      </c>
      <c r="D11" s="95">
        <f>PMT($B$5,$B$6,$B$4*-1)</f>
        <v>5784.2478051000999</v>
      </c>
      <c r="E11" s="96">
        <f>IPMT($B$5,A11,$B$6,$B$4*-1)</f>
        <v>1440</v>
      </c>
      <c r="F11" s="31">
        <f>PPMT($B$5,A11,$B$6,$B$4*-1)</f>
        <v>4344.2478051000999</v>
      </c>
      <c r="G11" s="95">
        <f>C11-F11</f>
        <v>115655.75219489999</v>
      </c>
    </row>
    <row r="12" ht="18" customHeight="1">
      <c r="A12" s="63">
        <v>2</v>
      </c>
      <c r="B12" s="94">
        <f>EDATE($B$7,1)</f>
        <v>46113</v>
      </c>
      <c r="C12" s="40">
        <f>G11</f>
        <v>115655.75219489999</v>
      </c>
      <c r="D12" s="95">
        <f>PMT($B$5,$B$6,$B$4*-1)</f>
        <v>5784.2478051000999</v>
      </c>
      <c r="E12" s="96">
        <f>IPMT($B$5,A12,$B$6,$B$4*-1)</f>
        <v>1387.8690263388</v>
      </c>
      <c r="F12" s="31">
        <f>PPMT($B$5,A12,$B$6,$B$4*-1)</f>
        <v>4396.3787787613001</v>
      </c>
      <c r="G12" s="95">
        <f>C12-F12</f>
        <v>111259.373416139</v>
      </c>
    </row>
    <row r="13" ht="18" customHeight="1">
      <c r="A13" s="58">
        <v>3</v>
      </c>
      <c r="B13" s="94">
        <f>EDATE($B$7,2)</f>
        <v>46143</v>
      </c>
      <c r="C13" s="40">
        <f>G12</f>
        <v>111259.373416139</v>
      </c>
      <c r="D13" s="95">
        <f>PMT($B$5,$B$6,$B$4*-1)</f>
        <v>5784.2478051000999</v>
      </c>
      <c r="E13" s="96">
        <f>IPMT($B$5,A13,$B$6,$B$4*-1)</f>
        <v>1335.11248099366</v>
      </c>
      <c r="F13" s="31">
        <f>PPMT($B$5,A13,$B$6,$B$4*-1)</f>
        <v>4449.1353241064298</v>
      </c>
      <c r="G13" s="95">
        <f>C13-F13</f>
        <v>106810.238092032</v>
      </c>
    </row>
    <row r="14" ht="18" customHeight="1">
      <c r="A14" s="63">
        <v>4</v>
      </c>
      <c r="B14" s="94">
        <f>EDATE($B$7,3)</f>
        <v>46174</v>
      </c>
      <c r="C14" s="40">
        <f>G13</f>
        <v>106810.238092032</v>
      </c>
      <c r="D14" s="95">
        <f>PMT($B$5,$B$6,$B$4*-1)</f>
        <v>5784.2478051000999</v>
      </c>
      <c r="E14" s="96">
        <f>IPMT($B$5,A14,$B$6,$B$4*-1)</f>
        <v>1281.72285710439</v>
      </c>
      <c r="F14" s="31">
        <f>PPMT($B$5,A14,$B$6,$B$4*-1)</f>
        <v>4502.5249479957101</v>
      </c>
      <c r="G14" s="95">
        <f>C14-F14</f>
        <v>102307.713144036</v>
      </c>
    </row>
    <row r="15" ht="18" customHeight="1">
      <c r="A15" s="58">
        <v>5</v>
      </c>
      <c r="B15" s="94">
        <f>EDATE($B$7,4)</f>
        <v>46204</v>
      </c>
      <c r="C15" s="40">
        <f>G14</f>
        <v>102307.713144036</v>
      </c>
      <c r="D15" s="95">
        <f>PMT($B$5,$B$6,$B$4*-1)</f>
        <v>5784.2478051000999</v>
      </c>
      <c r="E15" s="96">
        <f>IPMT($B$5,A15,$B$6,$B$4*-1)</f>
        <v>1227.6925577284401</v>
      </c>
      <c r="F15" s="31">
        <f>PPMT($B$5,A15,$B$6,$B$4*-1)</f>
        <v>4556.5552473716598</v>
      </c>
      <c r="G15" s="95">
        <f>C15-F15</f>
        <v>97751.157896664794</v>
      </c>
    </row>
    <row r="16" ht="18" customHeight="1">
      <c r="A16" s="63">
        <v>6</v>
      </c>
      <c r="B16" s="94">
        <f>EDATE($B$7,5)</f>
        <v>46235</v>
      </c>
      <c r="C16" s="40">
        <f>G15</f>
        <v>97751.157896664794</v>
      </c>
      <c r="D16" s="95">
        <f>PMT($B$5,$B$6,$B$4*-1)</f>
        <v>5784.2478051000999</v>
      </c>
      <c r="E16" s="96">
        <f>IPMT($B$5,A16,$B$6,$B$4*-1)</f>
        <v>1173.0138947599801</v>
      </c>
      <c r="F16" s="31">
        <f>PPMT($B$5,A16,$B$6,$B$4*-1)</f>
        <v>4611.23391034012</v>
      </c>
      <c r="G16" s="95">
        <f>C16-F16</f>
        <v>93139.923986324706</v>
      </c>
    </row>
    <row r="17" ht="18" customHeight="1">
      <c r="A17" s="58">
        <v>7</v>
      </c>
      <c r="B17" s="94">
        <f>EDATE($B$7,6)</f>
        <v>46266</v>
      </c>
      <c r="C17" s="40">
        <f>G16</f>
        <v>93139.923986324706</v>
      </c>
      <c r="D17" s="95">
        <f>PMT($B$5,$B$6,$B$4*-1)</f>
        <v>5784.2478051000999</v>
      </c>
      <c r="E17" s="96">
        <f>IPMT($B$5,A17,$B$6,$B$4*-1)</f>
        <v>1117.6790878359</v>
      </c>
      <c r="F17" s="31">
        <f>PPMT($B$5,A17,$B$6,$B$4*-1)</f>
        <v>4666.5687172642001</v>
      </c>
      <c r="G17" s="95">
        <f>C17-F17</f>
        <v>88473.355269060499</v>
      </c>
    </row>
    <row r="18" ht="18" customHeight="1">
      <c r="A18" s="63">
        <v>8</v>
      </c>
      <c r="B18" s="94">
        <f>EDATE($B$7,7)</f>
        <v>46296</v>
      </c>
      <c r="C18" s="40">
        <f>G17</f>
        <v>88473.355269060499</v>
      </c>
      <c r="D18" s="95">
        <f>PMT($B$5,$B$6,$B$4*-1)</f>
        <v>5784.2478051000999</v>
      </c>
      <c r="E18" s="96">
        <f>IPMT($B$5,A18,$B$6,$B$4*-1)</f>
        <v>1061.6802632287299</v>
      </c>
      <c r="F18" s="31">
        <f>PPMT($B$5,A18,$B$6,$B$4*-1)</f>
        <v>4722.5675418713699</v>
      </c>
      <c r="G18" s="95">
        <f>C18-F18</f>
        <v>83750.787727189105</v>
      </c>
    </row>
    <row r="19" ht="18" customHeight="1">
      <c r="A19" s="58">
        <v>9</v>
      </c>
      <c r="B19" s="94">
        <f>EDATE($B$7,8)</f>
        <v>46327</v>
      </c>
      <c r="C19" s="40">
        <f>G18</f>
        <v>83750.787727189105</v>
      </c>
      <c r="D19" s="95">
        <f>PMT($B$5,$B$6,$B$4*-1)</f>
        <v>5784.2478051000999</v>
      </c>
      <c r="E19" s="96">
        <f>IPMT($B$5,A19,$B$6,$B$4*-1)</f>
        <v>1005.00945272627</v>
      </c>
      <c r="F19" s="31">
        <f>PPMT($B$5,A19,$B$6,$B$4*-1)</f>
        <v>4779.2383523738299</v>
      </c>
      <c r="G19" s="95">
        <f>C19-F19</f>
        <v>78971.549374815295</v>
      </c>
    </row>
    <row r="20" ht="18" customHeight="1">
      <c r="A20" s="63">
        <v>10</v>
      </c>
      <c r="B20" s="94">
        <f>EDATE($B$7,9)</f>
        <v>46357</v>
      </c>
      <c r="C20" s="40">
        <f>G19</f>
        <v>78971.549374815295</v>
      </c>
      <c r="D20" s="95">
        <f>PMT($B$5,$B$6,$B$4*-1)</f>
        <v>5784.2478051000999</v>
      </c>
      <c r="E20" s="96">
        <f>IPMT($B$5,A20,$B$6,$B$4*-1)</f>
        <v>947.65859249778305</v>
      </c>
      <c r="F20" s="31">
        <f>PPMT($B$5,A20,$B$6,$B$4*-1)</f>
        <v>4836.58921260232</v>
      </c>
      <c r="G20" s="95">
        <f>C20-F20</f>
        <v>74134.960162212999</v>
      </c>
    </row>
    <row r="21" ht="18" customHeight="1">
      <c r="A21" s="58">
        <v>11</v>
      </c>
      <c r="B21" s="94">
        <f>EDATE($B$7,10)</f>
        <v>46388</v>
      </c>
      <c r="C21" s="40">
        <f>G20</f>
        <v>74134.960162212999</v>
      </c>
      <c r="D21" s="95">
        <f>PMT($B$5,$B$6,$B$4*-1)</f>
        <v>5784.2478051000999</v>
      </c>
      <c r="E21" s="96">
        <f>IPMT($B$5,A21,$B$6,$B$4*-1)</f>
        <v>889.61952194655498</v>
      </c>
      <c r="F21" s="31">
        <f>PPMT($B$5,A21,$B$6,$B$4*-1)</f>
        <v>4894.62828315354</v>
      </c>
      <c r="G21" s="95">
        <f>C21-F21</f>
        <v>69240.331879059493</v>
      </c>
    </row>
    <row r="22" ht="18" customHeight="1">
      <c r="A22" s="63">
        <v>12</v>
      </c>
      <c r="B22" s="94">
        <f>EDATE($B$7,11)</f>
        <v>46419</v>
      </c>
      <c r="C22" s="40">
        <f>G21</f>
        <v>69240.331879059493</v>
      </c>
      <c r="D22" s="95">
        <f>PMT($B$5,$B$6,$B$4*-1)</f>
        <v>5784.2478051000999</v>
      </c>
      <c r="E22" s="96">
        <f>IPMT($B$5,A22,$B$6,$B$4*-1)</f>
        <v>830.88398254871299</v>
      </c>
      <c r="F22" s="31">
        <f>PPMT($B$5,A22,$B$6,$B$4*-1)</f>
        <v>4953.3638225513796</v>
      </c>
      <c r="G22" s="95">
        <f>C22-F22</f>
        <v>64286.9680565081</v>
      </c>
    </row>
    <row r="23" ht="18" customHeight="1">
      <c r="A23" s="58">
        <v>13</v>
      </c>
      <c r="B23" s="94">
        <f>EDATE($B$7,12)</f>
        <v>46447</v>
      </c>
      <c r="C23" s="40">
        <f>G22</f>
        <v>64286.9680565081</v>
      </c>
      <c r="D23" s="95">
        <f>PMT($B$5,$B$6,$B$4*-1)</f>
        <v>5784.2478051000999</v>
      </c>
      <c r="E23" s="96">
        <f>IPMT($B$5,A23,$B$6,$B$4*-1)</f>
        <v>771.44361667809596</v>
      </c>
      <c r="F23" s="31">
        <f>PPMT($B$5,A23,$B$6,$B$4*-1)</f>
        <v>5012.8041884220002</v>
      </c>
      <c r="G23" s="95">
        <f>C23-F23</f>
        <v>59274.1638680861</v>
      </c>
    </row>
    <row r="24" ht="18" customHeight="1">
      <c r="A24" s="63">
        <v>14</v>
      </c>
      <c r="B24" s="94">
        <f>EDATE($B$7,13)</f>
        <v>46478</v>
      </c>
      <c r="C24" s="40">
        <f>G23</f>
        <v>59274.1638680861</v>
      </c>
      <c r="D24" s="95">
        <f>PMT($B$5,$B$6,$B$4*-1)</f>
        <v>5784.2478051000999</v>
      </c>
      <c r="E24" s="96">
        <f>IPMT($B$5,A24,$B$6,$B$4*-1)</f>
        <v>711.28996641703202</v>
      </c>
      <c r="F24" s="31">
        <f>PPMT($B$5,A24,$B$6,$B$4*-1)</f>
        <v>5072.9578386830699</v>
      </c>
      <c r="G24" s="95">
        <f>C24-F24</f>
        <v>54201.206029403002</v>
      </c>
    </row>
    <row r="25" ht="18" customHeight="1">
      <c r="A25" s="58">
        <v>15</v>
      </c>
      <c r="B25" s="94">
        <f>EDATE($B$7,14)</f>
        <v>46508</v>
      </c>
      <c r="C25" s="40">
        <f>G24</f>
        <v>54201.206029403002</v>
      </c>
      <c r="D25" s="95">
        <f>PMT($B$5,$B$6,$B$4*-1)</f>
        <v>5784.2478051000999</v>
      </c>
      <c r="E25" s="96">
        <f>IPMT($B$5,A25,$B$6,$B$4*-1)</f>
        <v>650.41447235283499</v>
      </c>
      <c r="F25" s="31">
        <f>PPMT($B$5,A25,$B$6,$B$4*-1)</f>
        <v>5133.8333327472601</v>
      </c>
      <c r="G25" s="95">
        <f>C25-F25</f>
        <v>49067.372696655701</v>
      </c>
    </row>
    <row r="26" ht="18" customHeight="1">
      <c r="A26" s="63">
        <v>16</v>
      </c>
      <c r="B26" s="94">
        <f>EDATE($B$7,15)</f>
        <v>46539</v>
      </c>
      <c r="C26" s="40">
        <f>G25</f>
        <v>49067.372696655701</v>
      </c>
      <c r="D26" s="95">
        <f>PMT($B$5,$B$6,$B$4*-1)</f>
        <v>5784.2478051000999</v>
      </c>
      <c r="E26" s="96">
        <f>IPMT($B$5,A26,$B$6,$B$4*-1)</f>
        <v>588.80847235986698</v>
      </c>
      <c r="F26" s="31">
        <f>PPMT($B$5,A26,$B$6,$B$4*-1)</f>
        <v>5195.4393327402304</v>
      </c>
      <c r="G26" s="95">
        <f>C26-F26</f>
        <v>43871.933363915501</v>
      </c>
    </row>
    <row r="27" ht="18" customHeight="1">
      <c r="A27" s="58">
        <v>17</v>
      </c>
      <c r="B27" s="94">
        <f>EDATE($B$7,16)</f>
        <v>46569</v>
      </c>
      <c r="C27" s="40">
        <f>G26</f>
        <v>43871.933363915501</v>
      </c>
      <c r="D27" s="95">
        <f>PMT($B$5,$B$6,$B$4*-1)</f>
        <v>5784.2478051000999</v>
      </c>
      <c r="E27" s="96">
        <f>IPMT($B$5,A27,$B$6,$B$4*-1)</f>
        <v>526.46320036698501</v>
      </c>
      <c r="F27" s="31">
        <f>PPMT($B$5,A27,$B$6,$B$4*-1)</f>
        <v>5257.7846047331104</v>
      </c>
      <c r="G27" s="95">
        <f>C27-F27</f>
        <v>38614.148759182397</v>
      </c>
    </row>
    <row r="28" ht="18" customHeight="1">
      <c r="A28" s="63">
        <v>18</v>
      </c>
      <c r="B28" s="94">
        <f>EDATE($B$7,17)</f>
        <v>46600</v>
      </c>
      <c r="C28" s="40">
        <f>G27</f>
        <v>38614.148759182397</v>
      </c>
      <c r="D28" s="95">
        <f>PMT($B$5,$B$6,$B$4*-1)</f>
        <v>5784.2478051000999</v>
      </c>
      <c r="E28" s="96">
        <f>IPMT($B$5,A28,$B$6,$B$4*-1)</f>
        <v>463.36978511018702</v>
      </c>
      <c r="F28" s="31">
        <f>PPMT($B$5,A28,$B$6,$B$4*-1)</f>
        <v>5320.8780199899102</v>
      </c>
      <c r="G28" s="95">
        <f>C28-F28</f>
        <v>33293.2707391925</v>
      </c>
    </row>
    <row r="29" ht="18" customHeight="1">
      <c r="A29" s="58">
        <v>19</v>
      </c>
      <c r="B29" s="94">
        <f>EDATE($B$7,18)</f>
        <v>46631</v>
      </c>
      <c r="C29" s="40">
        <f>G28</f>
        <v>33293.2707391925</v>
      </c>
      <c r="D29" s="95">
        <f>PMT($B$5,$B$6,$B$4*-1)</f>
        <v>5784.2478051000999</v>
      </c>
      <c r="E29" s="96">
        <f>IPMT($B$5,A29,$B$6,$B$4*-1)</f>
        <v>399.51924887030799</v>
      </c>
      <c r="F29" s="31">
        <f>PPMT($B$5,A29,$B$6,$B$4*-1)</f>
        <v>5384.7285562297902</v>
      </c>
      <c r="G29" s="95">
        <f>C29-F29</f>
        <v>27908.542182962701</v>
      </c>
    </row>
    <row r="30" ht="18" customHeight="1">
      <c r="A30" s="63">
        <v>20</v>
      </c>
      <c r="B30" s="94">
        <f>EDATE($B$7,19)</f>
        <v>46661</v>
      </c>
      <c r="C30" s="40">
        <f>G29</f>
        <v>27908.542182962701</v>
      </c>
      <c r="D30" s="95">
        <f>PMT($B$5,$B$6,$B$4*-1)</f>
        <v>5784.2478051000999</v>
      </c>
      <c r="E30" s="96">
        <f>IPMT($B$5,A30,$B$6,$B$4*-1)</f>
        <v>334.90250619555098</v>
      </c>
      <c r="F30" s="31">
        <f>PPMT($B$5,A30,$B$6,$B$4*-1)</f>
        <v>5449.34529890455</v>
      </c>
      <c r="G30" s="95">
        <f>C30-F30</f>
        <v>22459.196884058099</v>
      </c>
    </row>
    <row r="31" ht="18" customHeight="1">
      <c r="A31" s="58">
        <v>21</v>
      </c>
      <c r="B31" s="94">
        <f>EDATE($B$7,20)</f>
        <v>46692</v>
      </c>
      <c r="C31" s="40">
        <f>G30</f>
        <v>22459.196884058099</v>
      </c>
      <c r="D31" s="95">
        <f>PMT($B$5,$B$6,$B$4*-1)</f>
        <v>5784.2478051000999</v>
      </c>
      <c r="E31" s="96">
        <f>IPMT($B$5,A31,$B$6,$B$4*-1)</f>
        <v>269.51036260869603</v>
      </c>
      <c r="F31" s="31">
        <f>PPMT($B$5,A31,$B$6,$B$4*-1)</f>
        <v>5514.7374424913996</v>
      </c>
      <c r="G31" s="95">
        <f>C31-F31</f>
        <v>16944.459441566702</v>
      </c>
    </row>
    <row r="32" ht="18" customHeight="1">
      <c r="A32" s="63">
        <v>22</v>
      </c>
      <c r="B32" s="94">
        <f>EDATE($B$7,21)</f>
        <v>46722</v>
      </c>
      <c r="C32" s="40">
        <f>G31</f>
        <v>16944.459441566702</v>
      </c>
      <c r="D32" s="95">
        <f>PMT($B$5,$B$6,$B$4*-1)</f>
        <v>5784.2478051000999</v>
      </c>
      <c r="E32" s="96">
        <f>IPMT($B$5,A32,$B$6,$B$4*-1)</f>
        <v>203.3335132988</v>
      </c>
      <c r="F32" s="31">
        <f>PPMT($B$5,A32,$B$6,$B$4*-1)</f>
        <v>5580.9142918013004</v>
      </c>
      <c r="G32" s="95">
        <f>C32-F32</f>
        <v>11363.545149765399</v>
      </c>
    </row>
    <row r="33" ht="18" customHeight="1">
      <c r="A33" s="58">
        <v>23</v>
      </c>
      <c r="B33" s="94">
        <f>EDATE($B$7,22)</f>
        <v>46753</v>
      </c>
      <c r="C33" s="40">
        <f>G32</f>
        <v>11363.545149765399</v>
      </c>
      <c r="D33" s="95">
        <f>PMT($B$5,$B$6,$B$4*-1)</f>
        <v>5784.2478051000999</v>
      </c>
      <c r="E33" s="96">
        <f>IPMT($B$5,A33,$B$6,$B$4*-1)</f>
        <v>136.36254179718401</v>
      </c>
      <c r="F33" s="31">
        <f>PPMT($B$5,A33,$B$6,$B$4*-1)</f>
        <v>5647.8852633029101</v>
      </c>
      <c r="G33" s="95">
        <f>C33-F33</f>
        <v>5715.6598864625303</v>
      </c>
    </row>
    <row r="34" ht="18" customHeight="1">
      <c r="A34" s="63">
        <v>24</v>
      </c>
      <c r="B34" s="94">
        <f>EDATE($B$7,23)</f>
        <v>46784</v>
      </c>
      <c r="C34" s="40">
        <f>G33</f>
        <v>5715.6598864625303</v>
      </c>
      <c r="D34" s="95">
        <f>PMT($B$5,$B$6,$B$4*-1)</f>
        <v>5784.2478051000999</v>
      </c>
      <c r="E34" s="96">
        <f>IPMT($B$5,A34,$B$6,$B$4*-1)</f>
        <v>68.587918637549294</v>
      </c>
      <c r="F34" s="31">
        <f>PPMT($B$5,A34,$B$6,$B$4*-1)</f>
        <v>5715.6598864625503</v>
      </c>
      <c r="G34" s="95">
        <f>C34-F34</f>
        <v>0</v>
      </c>
    </row>
    <row r="35" ht="24" customHeight="1">
      <c r="A35" s="97" t="s">
        <v>427</v>
      </c>
      <c r="B35" s="98"/>
      <c r="C35" s="98"/>
      <c r="D35" s="99">
        <f>SUM(D11:D34)</f>
        <v>138821.947322402</v>
      </c>
      <c r="E35" s="99">
        <f>SUM(E11:E34)</f>
        <v>18821.947322402299</v>
      </c>
      <c r="F35" s="99">
        <f>SUM(F11:F34)</f>
        <v>120000</v>
      </c>
      <c r="G35" s="98"/>
    </row>
    <row r="36" ht="24" customHeight="1">
      <c r="A36" s="34" t="s">
        <v>428</v>
      </c>
      <c r="B36" s="34"/>
      <c r="C36" s="34"/>
      <c r="D36" s="34"/>
      <c r="E36" s="34"/>
      <c r="F36" s="34"/>
      <c r="G36" s="34"/>
      <c r="H36" s="34"/>
    </row>
    <row r="37" ht="27.75" customHeight="1">
      <c r="A37" s="35" t="s">
        <v>429</v>
      </c>
      <c r="B37" s="35" t="s">
        <v>430</v>
      </c>
      <c r="C37" s="35" t="s">
        <v>131</v>
      </c>
      <c r="D37" s="35"/>
      <c r="E37" s="35"/>
      <c r="F37" s="35"/>
      <c r="G37" s="35"/>
      <c r="H37" s="35"/>
    </row>
    <row r="38" ht="27.75" customHeight="1">
      <c r="A38" s="36" t="s">
        <v>431</v>
      </c>
      <c r="B38" s="85" t="s">
        <v>432</v>
      </c>
      <c r="C38" s="73" t="s">
        <v>433</v>
      </c>
      <c r="D38" s="73"/>
      <c r="E38" s="73"/>
      <c r="F38" s="73"/>
      <c r="G38" s="73"/>
      <c r="H38" s="73"/>
    </row>
    <row r="39" ht="27.75" customHeight="1">
      <c r="A39" s="38" t="s">
        <v>434</v>
      </c>
      <c r="B39" s="85" t="s">
        <v>435</v>
      </c>
      <c r="C39" s="74" t="s">
        <v>436</v>
      </c>
      <c r="D39" s="74"/>
      <c r="E39" s="74"/>
      <c r="F39" s="74"/>
      <c r="G39" s="74"/>
      <c r="H39" s="74"/>
    </row>
    <row r="40" ht="27.75" customHeight="1">
      <c r="A40" s="36" t="s">
        <v>437</v>
      </c>
      <c r="B40" s="85" t="s">
        <v>438</v>
      </c>
      <c r="C40" s="73" t="s">
        <v>439</v>
      </c>
      <c r="D40" s="73"/>
      <c r="E40" s="73"/>
      <c r="F40" s="73"/>
      <c r="G40" s="73"/>
      <c r="H40" s="73"/>
    </row>
    <row r="41" ht="27.75" customHeight="1">
      <c r="A41" s="38" t="s">
        <v>440</v>
      </c>
      <c r="B41" s="85" t="s">
        <v>441</v>
      </c>
      <c r="C41" s="74" t="s">
        <v>442</v>
      </c>
      <c r="D41" s="74"/>
      <c r="E41" s="74"/>
      <c r="F41" s="74"/>
      <c r="G41" s="74"/>
      <c r="H41" s="74"/>
    </row>
  </sheetData>
  <mergeCells count="10">
    <mergeCell ref="A1:H1"/>
    <mergeCell ref="A2:H2"/>
    <mergeCell ref="A3:H3"/>
    <mergeCell ref="A9:H9"/>
    <mergeCell ref="A36:H36"/>
    <mergeCell ref="C37:H37"/>
    <mergeCell ref="C38:H38"/>
    <mergeCell ref="C39:H39"/>
    <mergeCell ref="C40:H40"/>
    <mergeCell ref="C41:H41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34"/>
    <col collapsed="0" customWidth="1" hidden="0" min="2" max="7" outlineLevel="0" style="1" width="16"/>
  </cols>
  <sheetData>
    <row r="1" ht="36" customHeight="1">
      <c r="A1" s="20" t="s">
        <v>443</v>
      </c>
      <c r="B1" s="20"/>
      <c r="C1" s="20"/>
      <c r="D1" s="20"/>
      <c r="E1" s="20"/>
      <c r="F1" s="20"/>
      <c r="G1" s="20"/>
    </row>
    <row r="2" ht="36" customHeight="1">
      <c r="A2" s="21" t="s">
        <v>444</v>
      </c>
      <c r="B2" s="21"/>
      <c r="C2" s="21"/>
      <c r="D2" s="21"/>
      <c r="E2" s="21"/>
      <c r="F2" s="21"/>
      <c r="G2" s="21"/>
    </row>
    <row r="3" ht="27.75" customHeight="1">
      <c r="A3" s="4" t="s">
        <v>445</v>
      </c>
      <c r="B3" s="4" t="s">
        <v>446</v>
      </c>
      <c r="C3" s="4" t="s">
        <v>447</v>
      </c>
      <c r="D3" s="4" t="s">
        <v>448</v>
      </c>
      <c r="E3" s="4" t="s">
        <v>449</v>
      </c>
      <c r="F3" s="4" t="s">
        <v>450</v>
      </c>
      <c r="G3" s="4" t="s">
        <v>451</v>
      </c>
    </row>
    <row r="4" ht="21.75" customHeight="1">
      <c r="A4" s="55" t="s">
        <v>452</v>
      </c>
      <c r="B4" s="100">
        <v>480000</v>
      </c>
      <c r="C4" s="100">
        <v>520000</v>
      </c>
      <c r="D4" s="100">
        <v>490000</v>
      </c>
      <c r="E4" s="100">
        <v>610000</v>
      </c>
      <c r="F4" s="100">
        <v>580000</v>
      </c>
      <c r="G4" s="100">
        <v>650000</v>
      </c>
    </row>
    <row r="5" ht="21.75" customHeight="1">
      <c r="A5" s="69" t="s">
        <v>453</v>
      </c>
      <c r="B5" s="80">
        <v>-57600</v>
      </c>
      <c r="C5" s="80">
        <v>-62400</v>
      </c>
      <c r="D5" s="80">
        <v>-58800</v>
      </c>
      <c r="E5" s="80">
        <v>-73200</v>
      </c>
      <c r="F5" s="80">
        <v>-69600</v>
      </c>
      <c r="G5" s="80">
        <v>-78000</v>
      </c>
    </row>
    <row r="6" ht="21.75" customHeight="1">
      <c r="A6" s="101" t="s">
        <v>454</v>
      </c>
      <c r="B6" s="102">
        <f>B4+B5</f>
        <v>422400</v>
      </c>
      <c r="C6" s="102">
        <f>C4+C5</f>
        <v>457600</v>
      </c>
      <c r="D6" s="102">
        <f>D4+D5</f>
        <v>431200</v>
      </c>
      <c r="E6" s="102">
        <f>E4+E5</f>
        <v>536800</v>
      </c>
      <c r="F6" s="102">
        <f>F4+F5</f>
        <v>510400</v>
      </c>
      <c r="G6" s="102">
        <f>G4+G5</f>
        <v>572000</v>
      </c>
    </row>
    <row r="7" ht="21.75" customHeight="1">
      <c r="A7" s="69" t="s">
        <v>455</v>
      </c>
      <c r="B7" s="80">
        <v>-168000</v>
      </c>
      <c r="C7" s="80">
        <v>-182000</v>
      </c>
      <c r="D7" s="80">
        <v>-171500</v>
      </c>
      <c r="E7" s="80">
        <v>-213500</v>
      </c>
      <c r="F7" s="80">
        <v>-203000</v>
      </c>
      <c r="G7" s="80">
        <v>-227500</v>
      </c>
    </row>
    <row r="8" ht="21.75" customHeight="1">
      <c r="A8" s="103" t="s">
        <v>456</v>
      </c>
      <c r="B8" s="102">
        <f>B6+B7</f>
        <v>254400</v>
      </c>
      <c r="C8" s="102">
        <f>C6+C7</f>
        <v>275600</v>
      </c>
      <c r="D8" s="102">
        <f>D6+D7</f>
        <v>259700</v>
      </c>
      <c r="E8" s="102">
        <f>E6+E7</f>
        <v>323300</v>
      </c>
      <c r="F8" s="102">
        <f>F6+F7</f>
        <v>307400</v>
      </c>
      <c r="G8" s="102">
        <f>G6+G7</f>
        <v>344500</v>
      </c>
    </row>
    <row r="9" ht="21.75" customHeight="1">
      <c r="A9" s="104" t="s">
        <v>457</v>
      </c>
      <c r="B9" s="105">
        <f>IFERROR(B8/B6,0)</f>
        <v>0.60227272727272696</v>
      </c>
      <c r="C9" s="105">
        <f>IFERROR(C8/C6,0)</f>
        <v>0.60227272727272696</v>
      </c>
      <c r="D9" s="105">
        <f>IFERROR(D8/D6,0)</f>
        <v>0.60227272727272696</v>
      </c>
      <c r="E9" s="105">
        <f>IFERROR(E8/E6,0)</f>
        <v>0.60227272727272696</v>
      </c>
      <c r="F9" s="105">
        <f>IFERROR(F8/F6,0)</f>
        <v>0.60227272727272696</v>
      </c>
      <c r="G9" s="105">
        <f>IFERROR(G8/G6,0)</f>
        <v>0.60227272727272696</v>
      </c>
    </row>
    <row r="10" ht="21.75" customHeight="1">
      <c r="A10" s="106" t="s">
        <v>458</v>
      </c>
      <c r="B10" s="107">
        <v>-96000</v>
      </c>
      <c r="C10" s="107">
        <v>-104000</v>
      </c>
      <c r="D10" s="107">
        <v>-98000</v>
      </c>
      <c r="E10" s="107">
        <v>-122000</v>
      </c>
      <c r="F10" s="107">
        <v>-116000</v>
      </c>
      <c r="G10" s="107">
        <v>-130000</v>
      </c>
    </row>
    <row r="11" ht="21.75" customHeight="1">
      <c r="A11" s="69" t="s">
        <v>459</v>
      </c>
      <c r="B11" s="80">
        <v>-48000</v>
      </c>
      <c r="C11" s="80">
        <v>-52000</v>
      </c>
      <c r="D11" s="80">
        <v>-49000</v>
      </c>
      <c r="E11" s="80">
        <v>-61000</v>
      </c>
      <c r="F11" s="80">
        <v>-58000</v>
      </c>
      <c r="G11" s="80">
        <v>-65000</v>
      </c>
    </row>
    <row r="12" ht="21.75" customHeight="1">
      <c r="A12" s="55" t="s">
        <v>460</v>
      </c>
      <c r="B12" s="102">
        <f>B8+B10+B11</f>
        <v>110400</v>
      </c>
      <c r="C12" s="102">
        <f>C8+C10+C11</f>
        <v>119600</v>
      </c>
      <c r="D12" s="102">
        <f>D8+D10+D11</f>
        <v>112700</v>
      </c>
      <c r="E12" s="102">
        <f>E8+E10+E11</f>
        <v>140300</v>
      </c>
      <c r="F12" s="102">
        <f>F8+F10+F11</f>
        <v>133400</v>
      </c>
      <c r="G12" s="102">
        <f>G8+G10+G11</f>
        <v>149500</v>
      </c>
    </row>
    <row r="13" ht="21.75" customHeight="1">
      <c r="A13" s="101" t="s">
        <v>461</v>
      </c>
      <c r="B13" s="105">
        <f>IFERROR(B12/B6,0)</f>
        <v>0.26136363636363602</v>
      </c>
      <c r="C13" s="105">
        <f>IFERROR(C12/C6,0)</f>
        <v>0.26136363636363602</v>
      </c>
      <c r="D13" s="105">
        <f>IFERROR(D12/D6,0)</f>
        <v>0.26136363636363602</v>
      </c>
      <c r="E13" s="105">
        <f>IFERROR(E12/E6,0)</f>
        <v>0.26136363636363602</v>
      </c>
      <c r="F13" s="105">
        <f>IFERROR(F12/F6,0)</f>
        <v>0.26136363636363602</v>
      </c>
      <c r="G13" s="105">
        <f>IFERROR(G12/G6,0)</f>
        <v>0.26136363636363602</v>
      </c>
    </row>
    <row r="14" ht="21.75" customHeight="1">
      <c r="A14" s="106" t="s">
        <v>462</v>
      </c>
      <c r="B14" s="107">
        <v>-8000</v>
      </c>
      <c r="C14" s="107">
        <v>-8000</v>
      </c>
      <c r="D14" s="107">
        <v>-8000</v>
      </c>
      <c r="E14" s="107">
        <v>-8000</v>
      </c>
      <c r="F14" s="107">
        <v>-8000</v>
      </c>
      <c r="G14" s="107">
        <v>-8000</v>
      </c>
    </row>
    <row r="15" ht="21.75" customHeight="1">
      <c r="A15" s="101" t="s">
        <v>463</v>
      </c>
      <c r="B15" s="102">
        <f>B12+B14</f>
        <v>102400</v>
      </c>
      <c r="C15" s="102">
        <f>C12+C14</f>
        <v>111600</v>
      </c>
      <c r="D15" s="102">
        <f>D12+D14</f>
        <v>104700</v>
      </c>
      <c r="E15" s="102">
        <f>E12+E14</f>
        <v>132300</v>
      </c>
      <c r="F15" s="102">
        <f>F12+F14</f>
        <v>125400</v>
      </c>
      <c r="G15" s="102">
        <f>G12+G14</f>
        <v>141500</v>
      </c>
    </row>
    <row r="16" ht="21.75" customHeight="1">
      <c r="A16" s="106" t="s">
        <v>464</v>
      </c>
      <c r="B16" s="107">
        <v>-14400</v>
      </c>
      <c r="C16" s="107">
        <v>-15600</v>
      </c>
      <c r="D16" s="107">
        <v>-14700</v>
      </c>
      <c r="E16" s="107">
        <v>-18300</v>
      </c>
      <c r="F16" s="107">
        <v>-17400</v>
      </c>
      <c r="G16" s="107">
        <v>-19500</v>
      </c>
    </row>
    <row r="17" ht="21.75" customHeight="1">
      <c r="A17" s="108" t="s">
        <v>465</v>
      </c>
      <c r="B17" s="102">
        <f>B15+B16</f>
        <v>88000</v>
      </c>
      <c r="C17" s="102">
        <f>C15+C16</f>
        <v>96000</v>
      </c>
      <c r="D17" s="102">
        <f>D15+D16</f>
        <v>90000</v>
      </c>
      <c r="E17" s="102">
        <f>E15+E16</f>
        <v>114000</v>
      </c>
      <c r="F17" s="102">
        <f>F15+F16</f>
        <v>108000</v>
      </c>
      <c r="G17" s="102">
        <f>G15+G16</f>
        <v>122000</v>
      </c>
    </row>
    <row r="18" ht="21.75" customHeight="1">
      <c r="A18" s="109" t="s">
        <v>466</v>
      </c>
      <c r="B18" s="102">
        <f>B17*-0.34</f>
        <v>-29920</v>
      </c>
      <c r="C18" s="102">
        <f>C17*-0.34</f>
        <v>-32640</v>
      </c>
      <c r="D18" s="102">
        <f>D17*-0.34</f>
        <v>-30600</v>
      </c>
      <c r="E18" s="102">
        <f>E17*-0.34</f>
        <v>-38760</v>
      </c>
      <c r="F18" s="102">
        <f>F17*-0.34</f>
        <v>-36720</v>
      </c>
      <c r="G18" s="102">
        <f>G17*-0.34</f>
        <v>-41480</v>
      </c>
    </row>
    <row r="19" ht="21.75" customHeight="1">
      <c r="A19" s="104" t="s">
        <v>467</v>
      </c>
      <c r="B19" s="102">
        <f>B17+B18</f>
        <v>58080</v>
      </c>
      <c r="C19" s="102">
        <f>C17+C18</f>
        <v>63360</v>
      </c>
      <c r="D19" s="102">
        <f>D17+D18</f>
        <v>59400</v>
      </c>
      <c r="E19" s="102">
        <f>E17+E18</f>
        <v>75240</v>
      </c>
      <c r="F19" s="102">
        <f>F17+F18</f>
        <v>71280</v>
      </c>
      <c r="G19" s="102">
        <f>G17+G18</f>
        <v>80520</v>
      </c>
    </row>
    <row r="20" ht="21.75" customHeight="1">
      <c r="A20" s="103" t="s">
        <v>468</v>
      </c>
      <c r="B20" s="105">
        <f>IFERROR(B19/B6,0)</f>
        <v>0.13750000000000001</v>
      </c>
      <c r="C20" s="105">
        <f>IFERROR(C19/C6,0)</f>
        <v>0.138461538461538</v>
      </c>
      <c r="D20" s="105">
        <f>IFERROR(D19/D6,0)</f>
        <v>0.13775510204081601</v>
      </c>
      <c r="E20" s="105">
        <f>IFERROR(E19/E6,0)</f>
        <v>0.14016393442623001</v>
      </c>
      <c r="F20" s="105">
        <f>IFERROR(F19/F6,0)</f>
        <v>0.13965517241379299</v>
      </c>
      <c r="G20" s="105">
        <f>IFERROR(G19/G6,0)</f>
        <v>0.14076923076923101</v>
      </c>
    </row>
  </sheetData>
  <mergeCells count="2">
    <mergeCell ref="A1:G1"/>
    <mergeCell ref="A2:G2"/>
  </mergeCells>
  <conditionalFormatting sqref="B9:G9">
    <cfRule type="cellIs" priority="2" aboveAverage="0" dxfId="3" operator="greaterThan" rank="0" text="">
      <formula>0.15</formula>
    </cfRule>
    <cfRule type="cellIs" priority="3" aboveAverage="0" dxfId="4" operator="lessThan" rank="0" text="">
      <formula>0.05</formula>
    </cfRule>
  </conditionalFormatting>
  <conditionalFormatting sqref="B13:G13">
    <cfRule type="cellIs" priority="4" aboveAverage="0" dxfId="3" operator="greaterThan" rank="0" text="">
      <formula>0.15</formula>
    </cfRule>
    <cfRule type="cellIs" priority="5" aboveAverage="0" dxfId="4" operator="lessThan" rank="0" text="">
      <formula>0.05</formula>
    </cfRule>
  </conditionalFormatting>
  <conditionalFormatting sqref="B21:G21">
    <cfRule type="cellIs" priority="6" aboveAverage="0" dxfId="3" operator="greaterThan" rank="0" text="">
      <formula>0.15</formula>
    </cfRule>
    <cfRule type="cellIs" priority="7" aboveAverage="0" dxfId="4" operator="lessThan" rank="0" text="">
      <formula>0.05</formula>
    </cfRule>
  </conditionalFormatting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0"/>
    <col collapsed="0" customWidth="1" hidden="0" min="3" max="8" outlineLevel="0" style="1" width="14"/>
  </cols>
  <sheetData>
    <row r="1" ht="36" customHeight="1">
      <c r="A1" s="20" t="s">
        <v>469</v>
      </c>
      <c r="B1" s="20"/>
      <c r="C1" s="20"/>
      <c r="D1" s="20"/>
      <c r="E1" s="20"/>
      <c r="F1" s="20"/>
      <c r="G1" s="20"/>
      <c r="H1" s="20"/>
    </row>
    <row r="2" ht="36" customHeight="1">
      <c r="A2" s="21" t="s">
        <v>470</v>
      </c>
      <c r="B2" s="21"/>
      <c r="C2" s="21"/>
      <c r="D2" s="21"/>
      <c r="E2" s="21"/>
      <c r="F2" s="21"/>
      <c r="G2" s="21"/>
      <c r="H2" s="21"/>
    </row>
    <row r="3" ht="24" customHeight="1">
      <c r="A3" s="22" t="s">
        <v>471</v>
      </c>
      <c r="B3" s="22"/>
      <c r="C3" s="22"/>
      <c r="D3" s="22"/>
      <c r="E3" s="22"/>
      <c r="F3" s="22"/>
      <c r="G3" s="22"/>
      <c r="H3" s="22"/>
    </row>
    <row r="4" ht="27.75" customHeight="1">
      <c r="A4" s="4" t="s">
        <v>472</v>
      </c>
      <c r="B4" s="4" t="s">
        <v>473</v>
      </c>
      <c r="C4" s="4" t="s">
        <v>474</v>
      </c>
      <c r="D4" s="4" t="s">
        <v>475</v>
      </c>
      <c r="E4" s="4" t="s">
        <v>476</v>
      </c>
      <c r="F4" s="4" t="s">
        <v>477</v>
      </c>
      <c r="G4" s="4" t="s">
        <v>478</v>
      </c>
      <c r="H4" s="4" t="s">
        <v>479</v>
      </c>
    </row>
    <row r="5" ht="21.75" customHeight="1">
      <c r="A5" s="110" t="s">
        <v>480</v>
      </c>
      <c r="B5" s="80">
        <v>87250</v>
      </c>
      <c r="C5" s="80">
        <v>64780</v>
      </c>
      <c r="D5" s="80">
        <v>59400</v>
      </c>
      <c r="E5" s="80">
        <v>102300</v>
      </c>
      <c r="F5" s="80">
        <v>95100</v>
      </c>
      <c r="G5" s="80">
        <v>118500</v>
      </c>
      <c r="H5" s="111">
        <f>SUM(B5:G5)</f>
        <v>527330</v>
      </c>
    </row>
    <row r="6" ht="21.75" customHeight="1">
      <c r="A6" s="112" t="s">
        <v>481</v>
      </c>
      <c r="B6" s="42">
        <v>12</v>
      </c>
      <c r="C6" s="42">
        <v>10</v>
      </c>
      <c r="D6" s="42">
        <v>11</v>
      </c>
      <c r="E6" s="42">
        <v>14</v>
      </c>
      <c r="F6" s="42">
        <v>13</v>
      </c>
      <c r="G6" s="42">
        <v>15</v>
      </c>
      <c r="H6" s="54">
        <f>SUM(B6:G6)</f>
        <v>75</v>
      </c>
    </row>
    <row r="7" ht="21.75" customHeight="1">
      <c r="A7" s="110" t="s">
        <v>482</v>
      </c>
      <c r="B7" s="113">
        <f>IFERROR(B5/B6,0)</f>
        <v>7270.8333333333303</v>
      </c>
      <c r="C7" s="113">
        <f>IFERROR(C5/C6,0)</f>
        <v>6478</v>
      </c>
      <c r="D7" s="113">
        <f>IFERROR(D5/D6,0)</f>
        <v>5400</v>
      </c>
      <c r="E7" s="113">
        <f>IFERROR(E5/E6,0)</f>
        <v>7307.1428571428596</v>
      </c>
      <c r="F7" s="113">
        <f>IFERROR(F5/F6,0)</f>
        <v>7315.3846153846198</v>
      </c>
      <c r="G7" s="113">
        <f>IFERROR(G5/G6,0)</f>
        <v>7900</v>
      </c>
      <c r="H7" s="111">
        <f>IFERROR(SUM(B5:G5)/SUM(B6:G6),0)</f>
        <v>7031.0666666666702</v>
      </c>
    </row>
    <row r="8" ht="21.75" customHeight="1">
      <c r="A8" s="112" t="s">
        <v>483</v>
      </c>
      <c r="B8" s="107">
        <v>80000</v>
      </c>
      <c r="C8" s="107">
        <v>80000</v>
      </c>
      <c r="D8" s="107">
        <v>80000</v>
      </c>
      <c r="E8" s="107">
        <v>100000</v>
      </c>
      <c r="F8" s="107">
        <v>100000</v>
      </c>
      <c r="G8" s="107">
        <v>120000</v>
      </c>
      <c r="H8" s="111">
        <f>SUM(B8:G8)</f>
        <v>560000</v>
      </c>
    </row>
    <row r="9" ht="21.75" customHeight="1">
      <c r="A9" s="110" t="s">
        <v>484</v>
      </c>
      <c r="B9" s="114">
        <f>IFERROR(B5/B8,0)</f>
        <v>1.090625</v>
      </c>
      <c r="C9" s="114">
        <f>IFERROR(C5/C8,0)</f>
        <v>0.80974999999999997</v>
      </c>
      <c r="D9" s="114">
        <f>IFERROR(D5/D8,0)</f>
        <v>0.74250000000000005</v>
      </c>
      <c r="E9" s="114">
        <f>IFERROR(E5/E8,0)</f>
        <v>1.0229999999999999</v>
      </c>
      <c r="F9" s="114">
        <f>IFERROR(F5/F8,0)</f>
        <v>0.95099999999999996</v>
      </c>
      <c r="G9" s="114">
        <f>IFERROR(G5/G8,0)</f>
        <v>0.98750000000000004</v>
      </c>
      <c r="H9" s="115">
        <f>IFERROR(SUM(B5:G5)/SUM(B8:G8),0)</f>
        <v>0.94166071428571396</v>
      </c>
    </row>
    <row r="12" ht="24" customHeight="1">
      <c r="A12" s="22" t="s">
        <v>485</v>
      </c>
      <c r="B12" s="22"/>
      <c r="C12" s="22"/>
      <c r="D12" s="22"/>
    </row>
    <row r="13" ht="27.75" customHeight="1">
      <c r="A13" s="4" t="s">
        <v>145</v>
      </c>
      <c r="B13" s="4" t="s">
        <v>486</v>
      </c>
      <c r="C13" s="4" t="s">
        <v>487</v>
      </c>
      <c r="D13" s="4" t="s">
        <v>488</v>
      </c>
    </row>
    <row r="14" ht="18" customHeight="1">
      <c r="A14" s="112" t="s">
        <v>154</v>
      </c>
      <c r="B14" s="42">
        <v>38</v>
      </c>
      <c r="C14" s="107">
        <v>237200</v>
      </c>
      <c r="D14" s="114">
        <f>IFERROR(C14/SUM($C$14:$C$18),0)</f>
        <v>0.85360587303872204</v>
      </c>
    </row>
    <row r="15" ht="18" customHeight="1">
      <c r="A15" s="110" t="s">
        <v>164</v>
      </c>
      <c r="B15" s="39">
        <v>22</v>
      </c>
      <c r="C15" s="80">
        <v>24600</v>
      </c>
      <c r="D15" s="114">
        <f>IFERROR(C15/SUM($C$14:$C$18),0)</f>
        <v>0.088527421908737594</v>
      </c>
    </row>
    <row r="16" ht="18" customHeight="1">
      <c r="A16" s="112" t="s">
        <v>160</v>
      </c>
      <c r="B16" s="42">
        <v>110</v>
      </c>
      <c r="C16" s="107">
        <v>8580</v>
      </c>
      <c r="D16" s="114">
        <f>IFERROR(C16/SUM($C$14:$C$18),0)</f>
        <v>0.030876637397437699</v>
      </c>
    </row>
    <row r="17" ht="18" customHeight="1">
      <c r="A17" s="110" t="s">
        <v>172</v>
      </c>
      <c r="B17" s="39">
        <v>50</v>
      </c>
      <c r="C17" s="80">
        <v>7500</v>
      </c>
      <c r="D17" s="114">
        <f>IFERROR(C17/SUM($C$14:$C$18),0)</f>
        <v>0.026990067655102899</v>
      </c>
    </row>
    <row r="18" ht="18" customHeight="1">
      <c r="A18" s="112" t="s">
        <v>221</v>
      </c>
      <c r="B18" s="42">
        <v>0</v>
      </c>
      <c r="C18" s="107">
        <v>0</v>
      </c>
      <c r="D18" s="114">
        <f>IFERROR(C18/SUM($C$14:$C$18),0)</f>
        <v>0</v>
      </c>
    </row>
  </sheetData>
  <mergeCells count="4">
    <mergeCell ref="A1:H1"/>
    <mergeCell ref="A2:H2"/>
    <mergeCell ref="A3:H3"/>
    <mergeCell ref="A12:D12"/>
  </mergeCells>
  <conditionalFormatting sqref="D14:D18">
    <cfRule type="colorScale" priority="2">
      <colorScale>
        <cfvo type="min" val="0"/>
        <cfvo type="max" val="0"/>
        <color indexed="65"/>
        <color rgb="FF2E75B6"/>
      </colorScale>
    </cfRule>
  </conditionalFormatting>
  <conditionalFormatting sqref="B5:G5">
    <cfRule type="colorScale" priority="3">
      <colorScale>
        <cfvo type="min" val="0"/>
        <cfvo type="percentile" val="50"/>
        <cfvo type="max" val="0"/>
        <color rgb="FFFFCDD2"/>
        <color rgb="FFFFFDE7"/>
        <color rgb="FFC8E6C9"/>
      </colorScale>
    </cfRule>
  </conditionalFormatting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2"/>
    <col collapsed="0" customWidth="1" hidden="0" min="3" max="8" outlineLevel="0" style="1" width="14"/>
  </cols>
  <sheetData>
    <row r="1" ht="36" customHeight="1">
      <c r="A1" s="20" t="s">
        <v>489</v>
      </c>
      <c r="B1" s="20"/>
      <c r="C1" s="20"/>
      <c r="D1" s="20"/>
      <c r="E1" s="20"/>
      <c r="F1" s="20"/>
      <c r="G1" s="20"/>
      <c r="H1" s="20"/>
    </row>
    <row r="2" ht="36" customHeight="1">
      <c r="A2" s="21" t="s">
        <v>490</v>
      </c>
      <c r="B2" s="21"/>
      <c r="C2" s="21"/>
      <c r="D2" s="21"/>
      <c r="E2" s="21"/>
      <c r="F2" s="21"/>
      <c r="G2" s="21"/>
      <c r="H2" s="21"/>
    </row>
    <row r="3" ht="24" customHeight="1">
      <c r="A3" s="22" t="s">
        <v>491</v>
      </c>
      <c r="B3" s="22"/>
      <c r="C3" s="22"/>
      <c r="D3" s="22"/>
      <c r="E3" s="22"/>
      <c r="F3" s="22"/>
      <c r="G3" s="22"/>
      <c r="H3" s="22"/>
    </row>
    <row r="4" ht="27.75" customHeight="1">
      <c r="A4" s="4" t="s">
        <v>104</v>
      </c>
      <c r="B4" s="4" t="s">
        <v>143</v>
      </c>
      <c r="C4" s="4" t="s">
        <v>74</v>
      </c>
      <c r="D4" s="4" t="s">
        <v>379</v>
      </c>
      <c r="E4" s="4" t="s">
        <v>492</v>
      </c>
      <c r="F4" s="4" t="s">
        <v>493</v>
      </c>
      <c r="G4" s="4" t="s">
        <v>150</v>
      </c>
      <c r="H4" s="4" t="s">
        <v>494</v>
      </c>
    </row>
    <row r="5" ht="21.75" customHeight="1">
      <c r="A5" s="14" t="s">
        <v>384</v>
      </c>
      <c r="B5" s="15" t="s">
        <v>152</v>
      </c>
      <c r="C5" s="14" t="s">
        <v>153</v>
      </c>
      <c r="D5" s="25">
        <v>120000</v>
      </c>
      <c r="E5" s="25">
        <v>118500</v>
      </c>
      <c r="F5" s="114">
        <f>IFERROR(E5/D5,0)</f>
        <v>0.98750000000000004</v>
      </c>
      <c r="G5" s="116" t="str">
        <f>IF(F5&gt;=0.9,"🟢 Atingido",IF(F5&gt;=0.7,"🟡 Atenção","🔴 Crítico"))</f>
        <v xml:space="preserve">🟢 Atingido</v>
      </c>
      <c r="H5" s="40">
        <f>IF(F5&gt;=1,E5*0.05,IF(F5&gt;=0.9,E5*0.03,0))</f>
        <v>3555</v>
      </c>
    </row>
    <row r="6" ht="21.75" customHeight="1">
      <c r="A6" s="8" t="s">
        <v>385</v>
      </c>
      <c r="B6" s="10" t="s">
        <v>158</v>
      </c>
      <c r="C6" s="8" t="s">
        <v>159</v>
      </c>
      <c r="D6" s="25">
        <v>80000</v>
      </c>
      <c r="E6" s="25">
        <v>54200</v>
      </c>
      <c r="F6" s="114">
        <f>IFERROR(E6/D6,0)</f>
        <v>0.67749999999999999</v>
      </c>
      <c r="G6" s="116" t="str">
        <f>IF(F6&gt;=0.9,"🟢 Atingido",IF(F6&gt;=0.7,"🟡 Atenção","🔴 Crítico"))</f>
        <v xml:space="preserve">🔴 Crítico</v>
      </c>
      <c r="H6" s="40">
        <f>IF(F6&gt;=1,E6*0.05,IF(F6&gt;=0.9,E6*0.03,0))</f>
        <v>0</v>
      </c>
    </row>
    <row r="7" ht="21.75" customHeight="1">
      <c r="A7" s="14" t="s">
        <v>386</v>
      </c>
      <c r="B7" s="15" t="s">
        <v>162</v>
      </c>
      <c r="C7" s="14" t="s">
        <v>163</v>
      </c>
      <c r="D7" s="25">
        <v>100000</v>
      </c>
      <c r="E7" s="25">
        <v>97800</v>
      </c>
      <c r="F7" s="114">
        <f>IFERROR(E7/D7,0)</f>
        <v>0.97799999999999998</v>
      </c>
      <c r="G7" s="116" t="str">
        <f>IF(F7&gt;=0.9,"🟢 Atingido",IF(F7&gt;=0.7,"🟡 Atenção","🔴 Crítico"))</f>
        <v xml:space="preserve">🟢 Atingido</v>
      </c>
      <c r="H7" s="40">
        <f>IF(F7&gt;=1,E7*0.05,IF(F7&gt;=0.9,E7*0.03,0))</f>
        <v>2934</v>
      </c>
    </row>
    <row r="8" ht="21.75" customHeight="1">
      <c r="A8" s="8" t="s">
        <v>387</v>
      </c>
      <c r="B8" s="10" t="s">
        <v>120</v>
      </c>
      <c r="C8" s="8" t="s">
        <v>153</v>
      </c>
      <c r="D8" s="25">
        <v>90000</v>
      </c>
      <c r="E8" s="25">
        <v>91500</v>
      </c>
      <c r="F8" s="114">
        <f>IFERROR(E8/D8,0)</f>
        <v>1.0166666666666699</v>
      </c>
      <c r="G8" s="116" t="str">
        <f>IF(F8&gt;=0.9,"🟢 Atingido",IF(F8&gt;=0.7,"🟡 Atenção","🔴 Crítico"))</f>
        <v xml:space="preserve">🟢 Atingido</v>
      </c>
      <c r="H8" s="40">
        <f>IF(F8&gt;=1,E8*0.05,IF(F8&gt;=0.9,E8*0.03,0))</f>
        <v>4575</v>
      </c>
    </row>
    <row r="9" ht="21.75" customHeight="1">
      <c r="A9" s="14" t="s">
        <v>388</v>
      </c>
      <c r="B9" s="15" t="s">
        <v>170</v>
      </c>
      <c r="C9" s="14" t="s">
        <v>171</v>
      </c>
      <c r="D9" s="25">
        <v>75000</v>
      </c>
      <c r="E9" s="25">
        <v>49800</v>
      </c>
      <c r="F9" s="114">
        <f>IFERROR(E9/D9,0)</f>
        <v>0.66400000000000003</v>
      </c>
      <c r="G9" s="116" t="str">
        <f>IF(F9&gt;=0.9,"🟢 Atingido",IF(F9&gt;=0.7,"🟡 Atenção","🔴 Crítico"))</f>
        <v xml:space="preserve">🔴 Crítico</v>
      </c>
      <c r="H9" s="40">
        <f>IF(F9&gt;=1,E9*0.05,IF(F9&gt;=0.9,E9*0.03,0))</f>
        <v>0</v>
      </c>
    </row>
    <row r="10" ht="21.75" customHeight="1">
      <c r="A10" s="8" t="s">
        <v>389</v>
      </c>
      <c r="B10" s="10" t="s">
        <v>390</v>
      </c>
      <c r="C10" s="8" t="s">
        <v>163</v>
      </c>
      <c r="D10" s="25">
        <v>110000</v>
      </c>
      <c r="E10" s="25">
        <v>105000</v>
      </c>
      <c r="F10" s="114">
        <f>IFERROR(E10/D10,0)</f>
        <v>0.95454545454545503</v>
      </c>
      <c r="G10" s="116" t="str">
        <f>IF(F10&gt;=0.9,"🟢 Atingido",IF(F10&gt;=0.7,"🟡 Atenção","🔴 Crítico"))</f>
        <v xml:space="preserve">🟢 Atingido</v>
      </c>
      <c r="H10" s="40">
        <f>IF(F10&gt;=1,E10*0.05,IF(F10&gt;=0.9,E10*0.03,0))</f>
        <v>3150</v>
      </c>
    </row>
    <row r="11" ht="21.75" customHeight="1">
      <c r="A11" s="14" t="s">
        <v>391</v>
      </c>
      <c r="B11" s="15" t="s">
        <v>392</v>
      </c>
      <c r="C11" s="14" t="s">
        <v>159</v>
      </c>
      <c r="D11" s="25">
        <v>85000</v>
      </c>
      <c r="E11" s="25">
        <v>87300</v>
      </c>
      <c r="F11" s="114">
        <f>IFERROR(E11/D11,0)</f>
        <v>1.02705882352941</v>
      </c>
      <c r="G11" s="116" t="str">
        <f>IF(F11&gt;=0.9,"🟢 Atingido",IF(F11&gt;=0.7,"🟡 Atenção","🔴 Crítico"))</f>
        <v xml:space="preserve">🟢 Atingido</v>
      </c>
      <c r="H11" s="40">
        <f>IF(F11&gt;=1,E11*0.05,IF(F11&gt;=0.9,E11*0.03,0))</f>
        <v>4365</v>
      </c>
    </row>
    <row r="12" ht="21.75" customHeight="1">
      <c r="A12" s="8" t="s">
        <v>495</v>
      </c>
      <c r="B12" s="10" t="s">
        <v>496</v>
      </c>
      <c r="C12" s="8" t="s">
        <v>153</v>
      </c>
      <c r="D12" s="25">
        <v>95000</v>
      </c>
      <c r="E12" s="25">
        <v>62000</v>
      </c>
      <c r="F12" s="114">
        <f>IFERROR(E12/D12,0)</f>
        <v>0.65263157894736901</v>
      </c>
      <c r="G12" s="116" t="str">
        <f>IF(F12&gt;=0.9,"🟢 Atingido",IF(F12&gt;=0.7,"🟡 Atenção","🔴 Crítico"))</f>
        <v xml:space="preserve">🔴 Crítico</v>
      </c>
      <c r="H12" s="40">
        <f>IF(F12&gt;=1,E12*0.05,IF(F12&gt;=0.9,E12*0.03,0))</f>
        <v>0</v>
      </c>
    </row>
    <row r="13" ht="21.75" customHeight="1">
      <c r="A13" s="14" t="s">
        <v>497</v>
      </c>
      <c r="B13" s="15" t="s">
        <v>498</v>
      </c>
      <c r="C13" s="14" t="s">
        <v>163</v>
      </c>
      <c r="D13" s="25">
        <v>100000</v>
      </c>
      <c r="E13" s="25">
        <v>99200</v>
      </c>
      <c r="F13" s="114">
        <f>IFERROR(E13/D13,0)</f>
        <v>0.99199999999999999</v>
      </c>
      <c r="G13" s="116" t="str">
        <f>IF(F13&gt;=0.9,"🟢 Atingido",IF(F13&gt;=0.7,"🟡 Atenção","🔴 Crítico"))</f>
        <v xml:space="preserve">🟢 Atingido</v>
      </c>
      <c r="H13" s="40">
        <f>IF(F13&gt;=1,E13*0.05,IF(F13&gt;=0.9,E13*0.03,0))</f>
        <v>2976</v>
      </c>
    </row>
    <row r="14" ht="21.75" customHeight="1">
      <c r="A14" s="8" t="s">
        <v>499</v>
      </c>
      <c r="B14" s="10" t="s">
        <v>500</v>
      </c>
      <c r="C14" s="8" t="s">
        <v>159</v>
      </c>
      <c r="D14" s="25">
        <v>70000</v>
      </c>
      <c r="E14" s="25">
        <v>71500</v>
      </c>
      <c r="F14" s="114">
        <f>IFERROR(E14/D14,0)</f>
        <v>1.02142857142857</v>
      </c>
      <c r="G14" s="116" t="str">
        <f>IF(F14&gt;=0.9,"🟢 Atingido",IF(F14&gt;=0.7,"🟡 Atenção","🔴 Crítico"))</f>
        <v xml:space="preserve">🟢 Atingido</v>
      </c>
      <c r="H14" s="40">
        <f>IF(F14&gt;=1,E14*0.05,IF(F14&gt;=0.9,E14*0.03,0))</f>
        <v>3575</v>
      </c>
    </row>
    <row r="15" ht="21.75" customHeight="1">
      <c r="A15" s="117" t="s">
        <v>479</v>
      </c>
      <c r="D15" s="118">
        <f>SUM(D5:D14)</f>
        <v>925000</v>
      </c>
      <c r="E15" s="118">
        <f>SUM(E5:E14)</f>
        <v>836800</v>
      </c>
      <c r="F15" s="119">
        <f>IFERROR(E15/D15,0)</f>
        <v>0.90464864864864902</v>
      </c>
      <c r="H15" s="118">
        <f>SUM(H5:H14)</f>
        <v>25130</v>
      </c>
    </row>
    <row r="17" ht="24" customHeight="1">
      <c r="A17" s="120" t="s">
        <v>501</v>
      </c>
      <c r="B17" s="120"/>
      <c r="C17" s="120"/>
      <c r="D17" s="120"/>
    </row>
    <row r="18" ht="27.75" customHeight="1">
      <c r="A18" s="121" t="s">
        <v>502</v>
      </c>
      <c r="B18" s="121" t="s">
        <v>143</v>
      </c>
      <c r="C18" s="121" t="s">
        <v>381</v>
      </c>
      <c r="D18" s="121" t="s">
        <v>503</v>
      </c>
    </row>
    <row r="19" ht="18" customHeight="1">
      <c r="A19" s="122">
        <f>IF(IFERROR(LARGE($F$5:$F$14,1),0)=0,"—",1)</f>
        <v>1</v>
      </c>
      <c r="B19" s="123" t="str">
        <f>IFERROR(INDEX($B$5:$B$14,MATCH(LARGE($F$5:$F$14,1),$F$5:$F$14,0)),"—")</f>
        <v xml:space="preserve">Helena Cruz</v>
      </c>
      <c r="C19" s="114">
        <f>IFERROR(LARGE($F$5:$F$14,1),0)</f>
        <v>1.02705882352941</v>
      </c>
      <c r="D19" s="40">
        <f>IFERROR(INDEX($H$5:$H$14,MATCH(LARGE($F$5:$F$14,1),$F$5:$F$14,0)),0)</f>
        <v>4365</v>
      </c>
    </row>
    <row r="20" ht="18" customHeight="1">
      <c r="A20" s="124">
        <f>IF(IFERROR(LARGE($F$5:$F$14,2),0)=0,"—",2)</f>
        <v>2</v>
      </c>
      <c r="B20" s="125" t="str">
        <f>IFERROR(INDEX($B$5:$B$14,MATCH(LARGE($F$5:$F$14,2),$F$5:$F$14,0)),"—")</f>
        <v xml:space="preserve">Kevin Dias</v>
      </c>
      <c r="C20" s="114">
        <f>IFERROR(LARGE($F$5:$F$14,2),0)</f>
        <v>1.02142857142857</v>
      </c>
      <c r="D20" s="40">
        <f>IFERROR(INDEX($H$5:$H$14,MATCH(LARGE($F$5:$F$14,2),$F$5:$F$14,0)),0)</f>
        <v>3575</v>
      </c>
    </row>
    <row r="21" ht="18" customHeight="1">
      <c r="A21" s="122">
        <f>IF(IFERROR(LARGE($F$5:$F$14,3),0)=0,"—",3)</f>
        <v>3</v>
      </c>
      <c r="B21" s="123" t="str">
        <f>IFERROR(INDEX($B$5:$B$14,MATCH(LARGE($F$5:$F$14,3),$F$5:$F$14,0)),"—")</f>
        <v xml:space="preserve">Diego Rocha</v>
      </c>
      <c r="C21" s="114">
        <f>IFERROR(LARGE($F$5:$F$14,3),0)</f>
        <v>1.0166666666666699</v>
      </c>
      <c r="D21" s="40">
        <f>IFERROR(INDEX($H$5:$H$14,MATCH(LARGE($F$5:$F$14,3),$F$5:$F$14,0)),0)</f>
        <v>4575</v>
      </c>
    </row>
    <row r="22" ht="18" customHeight="1">
      <c r="A22" s="124">
        <f>IF(IFERROR(LARGE($F$5:$F$14,4),0)=0,"—",4)</f>
        <v>4</v>
      </c>
      <c r="B22" s="125" t="str">
        <f>IFERROR(INDEX($B$5:$B$14,MATCH(LARGE($F$5:$F$14,4),$F$5:$F$14,0)),"—")</f>
        <v xml:space="preserve">Julia Alves</v>
      </c>
      <c r="C22" s="114">
        <f>IFERROR(LARGE($F$5:$F$14,4),0)</f>
        <v>0.99199999999999999</v>
      </c>
      <c r="D22" s="40">
        <f>IFERROR(INDEX($H$5:$H$14,MATCH(LARGE($F$5:$F$14,4),$F$5:$F$14,0)),0)</f>
        <v>2976</v>
      </c>
    </row>
    <row r="23" ht="18" customHeight="1">
      <c r="A23" s="122">
        <f>IF(IFERROR(LARGE($F$5:$F$14,5),0)=0,"—",5)</f>
        <v>5</v>
      </c>
      <c r="B23" s="123" t="str">
        <f>IFERROR(INDEX($B$5:$B$14,MATCH(LARGE($F$5:$F$14,5),$F$5:$F$14,0)),"—")</f>
        <v xml:space="preserve">Ana Silva</v>
      </c>
      <c r="C23" s="114">
        <f>IFERROR(LARGE($F$5:$F$14,5),0)</f>
        <v>0.98750000000000004</v>
      </c>
      <c r="D23" s="40">
        <f>IFERROR(INDEX($H$5:$H$14,MATCH(LARGE($F$5:$F$14,5),$F$5:$F$14,0)),0)</f>
        <v>3555</v>
      </c>
    </row>
    <row r="24" ht="18" customHeight="1">
      <c r="A24" s="124">
        <f>IF(IFERROR(LARGE($F$5:$F$14,6),0)=0,"—",6)</f>
        <v>6</v>
      </c>
      <c r="B24" s="125" t="str">
        <f>IFERROR(INDEX($B$5:$B$14,MATCH(LARGE($F$5:$F$14,6),$F$5:$F$14,0)),"—")</f>
        <v xml:space="preserve">Carla Mendes</v>
      </c>
      <c r="C24" s="114">
        <f>IFERROR(LARGE($F$5:$F$14,6),0)</f>
        <v>0.97799999999999998</v>
      </c>
      <c r="D24" s="40">
        <f>IFERROR(INDEX($H$5:$H$14,MATCH(LARGE($F$5:$F$14,6),$F$5:$F$14,0)),0)</f>
        <v>2934</v>
      </c>
    </row>
    <row r="25" ht="18" customHeight="1">
      <c r="A25" s="122">
        <f>IF(IFERROR(LARGE($F$5:$F$14,7),0)=0,"—",7)</f>
        <v>7</v>
      </c>
      <c r="B25" s="123" t="str">
        <f>IFERROR(INDEX($B$5:$B$14,MATCH(LARGE($F$5:$F$14,7),$F$5:$F$14,0)),"—")</f>
        <v xml:space="preserve">Gabriel Neto</v>
      </c>
      <c r="C25" s="114">
        <f>IFERROR(LARGE($F$5:$F$14,7),0)</f>
        <v>0.95454545454545503</v>
      </c>
      <c r="D25" s="40">
        <f>IFERROR(INDEX($H$5:$H$14,MATCH(LARGE($F$5:$F$14,7),$F$5:$F$14,0)),0)</f>
        <v>3150</v>
      </c>
    </row>
    <row r="26" ht="18" customHeight="1">
      <c r="A26" s="124">
        <f>IF(IFERROR(LARGE($F$5:$F$14,8),0)=0,"—",8)</f>
        <v>8</v>
      </c>
      <c r="B26" s="125" t="str">
        <f>IFERROR(INDEX($B$5:$B$14,MATCH(LARGE($F$5:$F$14,8),$F$5:$F$14,0)),"—")</f>
        <v xml:space="preserve">Bruno Costa</v>
      </c>
      <c r="C26" s="114">
        <f>IFERROR(LARGE($F$5:$F$14,8),0)</f>
        <v>0.67749999999999999</v>
      </c>
      <c r="D26" s="40">
        <f>IFERROR(INDEX($H$5:$H$14,MATCH(LARGE($F$5:$F$14,8),$F$5:$F$14,0)),0)</f>
        <v>0</v>
      </c>
    </row>
    <row r="27" ht="18" customHeight="1">
      <c r="A27" s="122">
        <f>IF(IFERROR(LARGE($F$5:$F$14,9),0)=0,"—",9)</f>
        <v>9</v>
      </c>
      <c r="B27" s="123" t="str">
        <f>IFERROR(INDEX($B$5:$B$14,MATCH(LARGE($F$5:$F$14,9),$F$5:$F$14,0)),"—")</f>
        <v xml:space="preserve">Fernanda Lima</v>
      </c>
      <c r="C27" s="114">
        <f>IFERROR(LARGE($F$5:$F$14,9),0)</f>
        <v>0.66400000000000003</v>
      </c>
      <c r="D27" s="40">
        <f>IFERROR(INDEX($H$5:$H$14,MATCH(LARGE($F$5:$F$14,9),$F$5:$F$14,0)),0)</f>
        <v>0</v>
      </c>
    </row>
    <row r="28" ht="18" customHeight="1">
      <c r="A28" s="124">
        <f>IF(IFERROR(LARGE($F$5:$F$14,10),0)=0,"—",10)</f>
        <v>10</v>
      </c>
      <c r="B28" s="125" t="str">
        <f>IFERROR(INDEX($B$5:$B$14,MATCH(LARGE($F$5:$F$14,10),$F$5:$F$14,0)),"—")</f>
        <v xml:space="preserve">Igor Santos</v>
      </c>
      <c r="C28" s="114">
        <f>IFERROR(LARGE($F$5:$F$14,10),0)</f>
        <v>0.65263157894736901</v>
      </c>
      <c r="D28" s="40">
        <f>IFERROR(INDEX($H$5:$H$14,MATCH(LARGE($F$5:$F$14,10),$F$5:$F$14,0)),0)</f>
        <v>0</v>
      </c>
    </row>
  </sheetData>
  <mergeCells count="4">
    <mergeCell ref="A1:H1"/>
    <mergeCell ref="A2:H2"/>
    <mergeCell ref="A3:H3"/>
    <mergeCell ref="A17:D17"/>
  </mergeCells>
  <conditionalFormatting sqref="F5:F14">
    <cfRule type="cellIs" priority="2" aboveAverage="0" dxfId="3" operator="greaterThanOrEqual" rank="0" text="">
      <formula>0.9</formula>
    </cfRule>
    <cfRule type="cellIs" priority="3" aboveAverage="0" dxfId="5" operator="between" rank="0" text="">
      <formula>0.7</formula>
      <formula>0.8999</formula>
    </cfRule>
    <cfRule type="cellIs" priority="4" aboveAverage="0" dxfId="4" operator="lessThan" rank="0" text="">
      <formula>0.7</formula>
    </cfRule>
  </conditionalFormatting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8"/>
    <col collapsed="0" customWidth="1" hidden="0" min="3" max="3" outlineLevel="0" style="1" width="18"/>
    <col collapsed="0" customWidth="1" hidden="0" min="4" max="5" outlineLevel="0" style="1" width="16"/>
    <col collapsed="0" customWidth="1" hidden="0" min="6" max="6" outlineLevel="0" style="1" width="20"/>
    <col collapsed="0" customWidth="1" hidden="0" min="7" max="7" outlineLevel="0" style="1" width="22"/>
  </cols>
  <sheetData>
    <row r="1" ht="36" customHeight="1">
      <c r="A1" s="20" t="s">
        <v>504</v>
      </c>
      <c r="B1" s="20"/>
      <c r="C1" s="20"/>
      <c r="D1" s="20"/>
      <c r="E1" s="20"/>
      <c r="F1" s="20"/>
      <c r="G1" s="20"/>
    </row>
    <row r="2" ht="36" customHeight="1">
      <c r="A2" s="21" t="s">
        <v>505</v>
      </c>
      <c r="B2" s="21"/>
      <c r="C2" s="21"/>
      <c r="D2" s="21"/>
      <c r="E2" s="21"/>
      <c r="F2" s="21"/>
      <c r="G2" s="21"/>
    </row>
    <row r="3" ht="24" customHeight="1">
      <c r="A3" s="67" t="s">
        <v>506</v>
      </c>
      <c r="B3" s="67"/>
      <c r="C3" s="67"/>
      <c r="D3" s="67"/>
      <c r="E3" s="67"/>
      <c r="F3" s="67"/>
      <c r="G3" s="67"/>
    </row>
    <row r="4" ht="27.75" customHeight="1">
      <c r="A4" s="68" t="s">
        <v>104</v>
      </c>
      <c r="B4" s="68" t="s">
        <v>507</v>
      </c>
      <c r="C4" s="68" t="s">
        <v>508</v>
      </c>
      <c r="D4" s="68" t="s">
        <v>509</v>
      </c>
      <c r="E4" s="68" t="s">
        <v>510</v>
      </c>
      <c r="F4" s="68" t="s">
        <v>511</v>
      </c>
      <c r="G4" s="68" t="s">
        <v>130</v>
      </c>
    </row>
    <row r="5" ht="24" customHeight="1">
      <c r="A5" s="126" t="s">
        <v>512</v>
      </c>
      <c r="B5" s="15" t="s">
        <v>513</v>
      </c>
      <c r="C5" s="72" t="s">
        <v>514</v>
      </c>
      <c r="D5" s="127" t="e">
        <f>#DIV/0!</f>
        <v>#DIV/0!</v>
      </c>
      <c r="E5" s="128" t="s">
        <v>515</v>
      </c>
      <c r="F5" s="129">
        <f>IFERROR(1000/1,0)</f>
        <v>1000</v>
      </c>
      <c r="G5" s="33" t="e">
        <f>IFERROR(1000/b_qtd,0)  →  Use IFERROR para evitar #DIV/0!</f>
        <v>#N/A</v>
      </c>
    </row>
    <row r="6" ht="24" customHeight="1">
      <c r="A6" s="127" t="s">
        <v>516</v>
      </c>
      <c r="B6" s="130" t="s">
        <v>517</v>
      </c>
      <c r="C6" s="72" t="s">
        <v>518</v>
      </c>
      <c r="D6" s="127" t="e">
        <f>#N/A</f>
        <v>#N/A</v>
      </c>
      <c r="E6" s="128" t="s">
        <v>519</v>
      </c>
      <c r="F6" s="129" t="str">
        <f>IFERROR(VLOOKUP("C01",$A$5:$F$12,2,0),"Não encontrado")</f>
        <v xml:space="preserve">Não encontrado</v>
      </c>
      <c r="G6" s="33" t="e">
        <f>IFERROR(VLOOKUP("X99",A1:B5,2,0),"Não encontrado")  →  IFERROR trata #N/A</f>
        <v>#N/A</v>
      </c>
    </row>
    <row r="7" ht="24" customHeight="1">
      <c r="A7" s="126" t="s">
        <v>520</v>
      </c>
      <c r="B7" s="15" t="s">
        <v>521</v>
      </c>
      <c r="C7" s="72" t="s">
        <v>522</v>
      </c>
      <c r="D7" s="127" t="e">
        <f>#REF!</f>
        <v>#REF!</v>
      </c>
      <c r="E7" s="128" t="s">
        <v>523</v>
      </c>
      <c r="F7" s="131">
        <f>IFERROR(SUM(A1:A10),0)</f>
        <v>0</v>
      </c>
      <c r="G7" s="33" t="e">
        <f>IFERROR(SUM(range_correto),0)  →  Recriar referência + IFERROR</f>
        <v>#N/A</v>
      </c>
    </row>
    <row r="8" ht="24" customHeight="1">
      <c r="A8" s="127" t="s">
        <v>524</v>
      </c>
      <c r="B8" s="130" t="s">
        <v>525</v>
      </c>
      <c r="C8" s="72" t="s">
        <v>526</v>
      </c>
      <c r="D8" s="127" t="s">
        <v>527</v>
      </c>
      <c r="E8" s="128" t="s">
        <v>528</v>
      </c>
      <c r="F8" s="131">
        <f>IF(ISNUMBER(VALUE("12345")),VALUE("12345"),0)</f>
        <v>12345</v>
      </c>
      <c r="G8" s="33" t="e">
        <f>IF(ISNUMBER(VALUE(C8)),VALUE(C8),0)  →  ISNUMBER + VALUE converte texto</f>
        <v>#N/A</v>
      </c>
    </row>
    <row r="9" ht="24" customHeight="1">
      <c r="A9" s="126" t="s">
        <v>529</v>
      </c>
      <c r="B9" s="15" t="s">
        <v>530</v>
      </c>
      <c r="C9" s="72" t="s">
        <v>531</v>
      </c>
      <c r="D9" s="127" t="e">
        <f>#VALUE!</f>
        <v>#VALUE!</v>
      </c>
      <c r="E9" s="128" t="s">
        <v>532</v>
      </c>
      <c r="F9" s="131">
        <f>IFERROR(0+0,0)</f>
        <v>0</v>
      </c>
      <c r="G9" s="33" t="e">
        <f>IFERROR(A1+0,0)  →  Substitua "" por 0 ou use IFERROR</f>
        <v>#N/A</v>
      </c>
    </row>
    <row r="10" ht="24" customHeight="1">
      <c r="A10" s="127" t="s">
        <v>533</v>
      </c>
      <c r="B10" s="130" t="s">
        <v>534</v>
      </c>
      <c r="C10" s="72" t="s">
        <v>535</v>
      </c>
      <c r="D10" s="127" t="e">
        <f>#NAME?</f>
        <v>#NAME?</v>
      </c>
      <c r="E10" s="128" t="s">
        <v>536</v>
      </c>
      <c r="F10" s="131">
        <f>SUM(B5:B10)</f>
        <v>0</v>
      </c>
      <c r="G10" s="33" t="e">
        <f>SUM(B5:B10)  →  Corrigir nome: SUM (inglês) ou SOMA (português)</f>
        <v>#N/A</v>
      </c>
    </row>
    <row r="11" ht="24" customHeight="1">
      <c r="A11" s="126" t="s">
        <v>537</v>
      </c>
      <c r="B11" s="15" t="s">
        <v>538</v>
      </c>
      <c r="C11" s="72" t="s">
        <v>539</v>
      </c>
      <c r="D11" s="127" t="s">
        <v>540</v>
      </c>
      <c r="E11" s="128" t="s">
        <v>541</v>
      </c>
      <c r="F11" s="132">
        <f>IFERROR(DATE(2026,3,15),"Data inválida")</f>
        <v>46096</v>
      </c>
      <c r="G11" s="33" t="e">
        <f>IFERROR(DATE(2026,13,32),"Data inválida")  →  Validar com DATA()</f>
        <v>#N/A</v>
      </c>
    </row>
    <row r="12" ht="24" customHeight="1">
      <c r="A12" s="127" t="s">
        <v>542</v>
      </c>
      <c r="B12" s="130" t="s">
        <v>543</v>
      </c>
      <c r="C12" s="72" t="s">
        <v>544</v>
      </c>
      <c r="D12" s="127" t="s">
        <v>545</v>
      </c>
      <c r="E12" s="128" t="s">
        <v>546</v>
      </c>
      <c r="F12" s="133">
        <f>IF(1.52&gt;1,1.52/100,1.52)</f>
        <v>0.0152</v>
      </c>
      <c r="G12" s="33" t="e">
        <f>IF(C12&gt;1,C12/100,C12)  →  SE o valor &gt;1, divide por 100</f>
        <v>#N/A</v>
      </c>
    </row>
    <row r="14" ht="24" customHeight="1">
      <c r="A14" s="34" t="s">
        <v>547</v>
      </c>
      <c r="B14" s="34"/>
      <c r="C14" s="34"/>
      <c r="D14" s="34"/>
      <c r="E14" s="34"/>
      <c r="F14" s="34"/>
      <c r="G14" s="34"/>
    </row>
    <row r="15" ht="27.75" customHeight="1">
      <c r="A15" s="35" t="s">
        <v>548</v>
      </c>
      <c r="B15" s="35" t="s">
        <v>549</v>
      </c>
      <c r="C15" s="35" t="s">
        <v>550</v>
      </c>
      <c r="D15" s="35" t="s">
        <v>551</v>
      </c>
      <c r="E15" s="35"/>
      <c r="F15" s="35"/>
      <c r="G15" s="35"/>
    </row>
    <row r="16" ht="21.75" customHeight="1">
      <c r="A16" s="134" t="s">
        <v>552</v>
      </c>
      <c r="B16" s="135" t="e">
        <f>IFERROR(fórmula, valor_se_erro)</f>
        <v>#NAME?</v>
      </c>
      <c r="C16" s="136" t="s">
        <v>553</v>
      </c>
      <c r="D16" s="137" t="s">
        <v>554</v>
      </c>
      <c r="E16" s="137"/>
      <c r="F16" s="137"/>
      <c r="G16" s="137"/>
    </row>
    <row r="17" ht="21.75" customHeight="1">
      <c r="A17" s="138" t="s">
        <v>555</v>
      </c>
      <c r="B17" s="139" t="b">
        <f>ISBLANK(célula)</f>
        <v>0</v>
      </c>
      <c r="C17" s="38" t="s">
        <v>556</v>
      </c>
      <c r="D17" s="74" t="s">
        <v>557</v>
      </c>
      <c r="E17" s="74"/>
      <c r="F17" s="74"/>
      <c r="G17" s="74"/>
    </row>
    <row r="18" ht="21.75" customHeight="1">
      <c r="A18" s="134" t="s">
        <v>558</v>
      </c>
      <c r="B18" s="140" t="b">
        <f>ISNUMBER(valor)</f>
        <v>0</v>
      </c>
      <c r="C18" s="136" t="s">
        <v>559</v>
      </c>
      <c r="D18" s="137" t="s">
        <v>560</v>
      </c>
      <c r="E18" s="137"/>
      <c r="F18" s="137"/>
      <c r="G18" s="137"/>
    </row>
    <row r="19" ht="21.75" customHeight="1">
      <c r="A19" s="138" t="s">
        <v>561</v>
      </c>
      <c r="B19" s="139" t="b">
        <f>ISTEXT(valor)</f>
        <v>0</v>
      </c>
      <c r="C19" s="38" t="s">
        <v>562</v>
      </c>
      <c r="D19" s="74" t="s">
        <v>563</v>
      </c>
      <c r="E19" s="74"/>
      <c r="F19" s="74"/>
      <c r="G19" s="74"/>
    </row>
    <row r="20" ht="21.75" customHeight="1">
      <c r="A20" s="134" t="s">
        <v>564</v>
      </c>
      <c r="B20" s="140" t="b">
        <f>ISERROR(valor)</f>
        <v>1</v>
      </c>
      <c r="C20" s="136" t="s">
        <v>565</v>
      </c>
      <c r="D20" s="137" t="s">
        <v>566</v>
      </c>
      <c r="E20" s="137"/>
      <c r="F20" s="137"/>
      <c r="G20" s="137"/>
    </row>
    <row r="21" ht="21.75" customHeight="1">
      <c r="A21" s="138" t="s">
        <v>567</v>
      </c>
      <c r="B21" s="141" t="e">
        <f>ifna(fórmula, valor)</f>
        <v>#NAME?</v>
      </c>
      <c r="C21" s="38" t="s">
        <v>568</v>
      </c>
      <c r="D21" s="74" t="s">
        <v>569</v>
      </c>
      <c r="E21" s="74"/>
      <c r="F21" s="74"/>
      <c r="G21" s="74"/>
    </row>
  </sheetData>
  <mergeCells count="11">
    <mergeCell ref="A1:G1"/>
    <mergeCell ref="A2:G2"/>
    <mergeCell ref="A3:G3"/>
    <mergeCell ref="A14:G14"/>
    <mergeCell ref="D15:G15"/>
    <mergeCell ref="D16:G16"/>
    <mergeCell ref="D17:G17"/>
    <mergeCell ref="D18:G18"/>
    <mergeCell ref="D19:G19"/>
    <mergeCell ref="D20:G20"/>
    <mergeCell ref="D21:G21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0"/>
    <col collapsed="0" customWidth="1" hidden="0" min="3" max="8" outlineLevel="0" style="1" width="14"/>
    <col collapsed="0" customWidth="1" hidden="0" min="9" max="9" outlineLevel="0" style="1" width="22"/>
  </cols>
  <sheetData>
    <row r="1" ht="36" customHeight="1">
      <c r="A1" s="20" t="s">
        <v>570</v>
      </c>
      <c r="B1" s="20"/>
      <c r="C1" s="20"/>
      <c r="D1" s="20"/>
      <c r="E1" s="20"/>
      <c r="F1" s="20"/>
      <c r="G1" s="20"/>
      <c r="H1" s="20"/>
      <c r="I1" s="20"/>
    </row>
    <row r="2" ht="36" customHeight="1">
      <c r="A2" s="21" t="s">
        <v>571</v>
      </c>
      <c r="B2" s="21"/>
      <c r="C2" s="21"/>
      <c r="D2" s="21"/>
      <c r="E2" s="21"/>
      <c r="F2" s="21"/>
      <c r="G2" s="21"/>
      <c r="H2" s="21"/>
      <c r="I2" s="21"/>
    </row>
    <row r="3" ht="24" customHeight="1">
      <c r="A3" s="22" t="s">
        <v>572</v>
      </c>
      <c r="B3" s="22"/>
      <c r="C3" s="22"/>
      <c r="D3" s="22"/>
      <c r="E3" s="22"/>
      <c r="F3" s="22"/>
      <c r="G3" s="22"/>
      <c r="H3" s="22"/>
      <c r="I3" s="22"/>
    </row>
    <row r="4" ht="27.75" customHeight="1">
      <c r="A4" s="4" t="s">
        <v>104</v>
      </c>
      <c r="B4" s="4" t="s">
        <v>573</v>
      </c>
      <c r="C4" s="4" t="s">
        <v>574</v>
      </c>
      <c r="D4" s="4" t="s">
        <v>575</v>
      </c>
      <c r="E4" s="4" t="s">
        <v>576</v>
      </c>
      <c r="F4" s="4" t="s">
        <v>577</v>
      </c>
      <c r="G4" s="4" t="s">
        <v>578</v>
      </c>
    </row>
    <row r="5" ht="18" customHeight="1">
      <c r="A5" s="14" t="s">
        <v>579</v>
      </c>
      <c r="B5" s="15" t="s">
        <v>580</v>
      </c>
      <c r="C5" s="142">
        <v>4.2000000000000002</v>
      </c>
      <c r="D5" s="39">
        <v>5</v>
      </c>
      <c r="E5" s="14" t="s">
        <v>581</v>
      </c>
      <c r="F5" s="14" t="s">
        <v>582</v>
      </c>
      <c r="G5" s="14" t="s">
        <v>583</v>
      </c>
    </row>
    <row r="6" ht="18" customHeight="1">
      <c r="A6" s="8" t="s">
        <v>584</v>
      </c>
      <c r="B6" s="10" t="s">
        <v>585</v>
      </c>
      <c r="C6" s="143">
        <v>12.5</v>
      </c>
      <c r="D6" s="42">
        <v>2</v>
      </c>
      <c r="E6" s="8" t="s">
        <v>586</v>
      </c>
      <c r="F6" s="8" t="s">
        <v>587</v>
      </c>
      <c r="G6" s="8" t="s">
        <v>588</v>
      </c>
    </row>
    <row r="7" ht="18" customHeight="1">
      <c r="A7" s="14" t="s">
        <v>589</v>
      </c>
      <c r="B7" s="15" t="s">
        <v>590</v>
      </c>
      <c r="C7" s="142">
        <v>3.7999999999999998</v>
      </c>
      <c r="D7" s="39">
        <v>5</v>
      </c>
      <c r="E7" s="14" t="s">
        <v>591</v>
      </c>
      <c r="F7" s="14" t="s">
        <v>582</v>
      </c>
      <c r="G7" s="14" t="s">
        <v>583</v>
      </c>
    </row>
    <row r="8" ht="18" customHeight="1">
      <c r="A8" s="8" t="s">
        <v>592</v>
      </c>
      <c r="B8" s="10" t="s">
        <v>593</v>
      </c>
      <c r="C8" s="143">
        <v>6.0999999999999996</v>
      </c>
      <c r="D8" s="42">
        <v>4</v>
      </c>
      <c r="E8" s="8" t="s">
        <v>581</v>
      </c>
      <c r="F8" s="8" t="s">
        <v>587</v>
      </c>
      <c r="G8" s="8" t="s">
        <v>583</v>
      </c>
    </row>
    <row r="9" ht="18" customHeight="1">
      <c r="A9" s="72" t="s">
        <v>594</v>
      </c>
      <c r="B9" s="71" t="s">
        <v>580</v>
      </c>
      <c r="C9" s="144">
        <v>45.299999999999997</v>
      </c>
      <c r="D9" s="72">
        <v>1</v>
      </c>
      <c r="E9" s="72" t="s">
        <v>586</v>
      </c>
      <c r="F9" s="72" t="s">
        <v>582</v>
      </c>
      <c r="G9" s="72" t="s">
        <v>588</v>
      </c>
    </row>
    <row r="10" ht="18" customHeight="1">
      <c r="A10" s="8" t="s">
        <v>595</v>
      </c>
      <c r="B10" s="10" t="s">
        <v>596</v>
      </c>
      <c r="C10" s="143">
        <v>5</v>
      </c>
      <c r="D10" s="42">
        <v>4</v>
      </c>
      <c r="E10" s="8" t="s">
        <v>591</v>
      </c>
      <c r="F10" s="8" t="s">
        <v>597</v>
      </c>
      <c r="G10" s="8" t="s">
        <v>583</v>
      </c>
    </row>
    <row r="11" ht="18" customHeight="1">
      <c r="A11" s="14" t="s">
        <v>598</v>
      </c>
      <c r="B11" s="15" t="s">
        <v>585</v>
      </c>
      <c r="C11" s="142">
        <v>7.2000000000000002</v>
      </c>
      <c r="D11" s="39">
        <v>3</v>
      </c>
      <c r="E11" s="14" t="s">
        <v>581</v>
      </c>
      <c r="F11" s="14" t="s">
        <v>582</v>
      </c>
      <c r="G11" s="14" t="s">
        <v>583</v>
      </c>
    </row>
    <row r="12" ht="18" customHeight="1">
      <c r="A12" s="8" t="s">
        <v>599</v>
      </c>
      <c r="B12" s="10" t="s">
        <v>590</v>
      </c>
      <c r="C12" s="143">
        <v>4.5</v>
      </c>
      <c r="D12" s="42">
        <v>5</v>
      </c>
      <c r="E12" s="8" t="s">
        <v>591</v>
      </c>
      <c r="F12" s="8" t="s">
        <v>587</v>
      </c>
      <c r="G12" s="8" t="s">
        <v>583</v>
      </c>
    </row>
    <row r="13" ht="18" customHeight="1">
      <c r="A13" s="14" t="s">
        <v>600</v>
      </c>
      <c r="B13" s="15" t="s">
        <v>593</v>
      </c>
      <c r="C13" s="142">
        <v>9.8000000000000007</v>
      </c>
      <c r="D13" s="39">
        <v>3</v>
      </c>
      <c r="E13" s="14" t="s">
        <v>586</v>
      </c>
      <c r="F13" s="14" t="s">
        <v>597</v>
      </c>
      <c r="G13" s="14" t="s">
        <v>588</v>
      </c>
    </row>
    <row r="14" ht="18" customHeight="1">
      <c r="A14" s="8" t="s">
        <v>601</v>
      </c>
      <c r="B14" s="10" t="s">
        <v>580</v>
      </c>
      <c r="C14" s="143">
        <v>3.2000000000000002</v>
      </c>
      <c r="D14" s="42">
        <v>5</v>
      </c>
      <c r="E14" s="8" t="s">
        <v>581</v>
      </c>
      <c r="F14" s="8" t="s">
        <v>582</v>
      </c>
      <c r="G14" s="8" t="s">
        <v>583</v>
      </c>
    </row>
    <row r="15" ht="18" customHeight="1">
      <c r="A15" s="14" t="s">
        <v>602</v>
      </c>
      <c r="B15" s="15" t="s">
        <v>596</v>
      </c>
      <c r="C15" s="142">
        <v>6.7000000000000002</v>
      </c>
      <c r="D15" s="39">
        <v>4</v>
      </c>
      <c r="E15" s="14" t="s">
        <v>591</v>
      </c>
      <c r="F15" s="14" t="s">
        <v>587</v>
      </c>
      <c r="G15" s="14" t="s">
        <v>583</v>
      </c>
    </row>
    <row r="16" ht="18" customHeight="1">
      <c r="A16" s="8" t="s">
        <v>603</v>
      </c>
      <c r="B16" s="10" t="s">
        <v>585</v>
      </c>
      <c r="C16" s="143">
        <v>8.0999999999999996</v>
      </c>
      <c r="D16" s="42">
        <v>3</v>
      </c>
      <c r="E16" s="8" t="s">
        <v>581</v>
      </c>
      <c r="F16" s="8" t="s">
        <v>597</v>
      </c>
      <c r="G16" s="8" t="s">
        <v>583</v>
      </c>
    </row>
    <row r="17" ht="18" customHeight="1">
      <c r="A17" s="72" t="s">
        <v>604</v>
      </c>
      <c r="B17" s="71" t="s">
        <v>590</v>
      </c>
      <c r="C17" s="144">
        <v>52</v>
      </c>
      <c r="D17" s="72">
        <v>1</v>
      </c>
      <c r="E17" s="72" t="s">
        <v>586</v>
      </c>
      <c r="F17" s="72" t="s">
        <v>587</v>
      </c>
      <c r="G17" s="72" t="s">
        <v>588</v>
      </c>
    </row>
    <row r="18" ht="18" customHeight="1">
      <c r="A18" s="8" t="s">
        <v>605</v>
      </c>
      <c r="B18" s="10" t="s">
        <v>593</v>
      </c>
      <c r="C18" s="143">
        <v>5.5</v>
      </c>
      <c r="D18" s="42">
        <v>4</v>
      </c>
      <c r="E18" s="8" t="s">
        <v>591</v>
      </c>
      <c r="F18" s="8" t="s">
        <v>582</v>
      </c>
      <c r="G18" s="8" t="s">
        <v>583</v>
      </c>
    </row>
    <row r="19" ht="18" customHeight="1">
      <c r="A19" s="14" t="s">
        <v>606</v>
      </c>
      <c r="B19" s="15" t="s">
        <v>580</v>
      </c>
      <c r="C19" s="142">
        <v>4.9000000000000004</v>
      </c>
      <c r="D19" s="39">
        <v>5</v>
      </c>
      <c r="E19" s="14" t="s">
        <v>581</v>
      </c>
      <c r="F19" s="14" t="s">
        <v>587</v>
      </c>
      <c r="G19" s="14" t="s">
        <v>583</v>
      </c>
    </row>
    <row r="21" ht="24" customHeight="1">
      <c r="A21" s="27" t="s">
        <v>607</v>
      </c>
      <c r="B21" s="27"/>
      <c r="C21" s="27"/>
      <c r="D21" s="27"/>
      <c r="E21" s="27"/>
    </row>
    <row r="22" ht="27.75" customHeight="1">
      <c r="A22" s="28" t="s">
        <v>472</v>
      </c>
      <c r="B22" s="28" t="s">
        <v>274</v>
      </c>
      <c r="C22" s="28" t="s">
        <v>191</v>
      </c>
      <c r="D22" s="28" t="s">
        <v>608</v>
      </c>
      <c r="E22" s="28"/>
      <c r="F22" s="28"/>
      <c r="G22" s="28"/>
      <c r="H22" s="28"/>
      <c r="I22" s="28"/>
    </row>
    <row r="23" ht="19.5" customHeight="1">
      <c r="A23" s="110" t="s">
        <v>609</v>
      </c>
      <c r="B23" s="145">
        <f>AVERAGE(C5:C19)</f>
        <v>11.92</v>
      </c>
      <c r="C23" s="146">
        <f>AVERAGE(C5:C19)</f>
        <v>11.92</v>
      </c>
      <c r="D23" s="147" t="s">
        <v>610</v>
      </c>
      <c r="E23" s="147"/>
      <c r="F23" s="147"/>
      <c r="G23" s="147"/>
      <c r="H23" s="147"/>
      <c r="I23" s="147"/>
    </row>
    <row r="24" ht="19.5" customHeight="1">
      <c r="A24" s="148" t="s">
        <v>611</v>
      </c>
      <c r="B24" s="145">
        <f>MEDIAN(C5:C19)</f>
        <v>6.0999999999999996</v>
      </c>
      <c r="C24" s="146">
        <f>MEDIAN(C5:C19)</f>
        <v>6.0999999999999996</v>
      </c>
      <c r="D24" s="147" t="s">
        <v>610</v>
      </c>
      <c r="E24" s="147"/>
      <c r="F24" s="147"/>
      <c r="G24" s="147"/>
      <c r="H24" s="147"/>
      <c r="I24" s="147"/>
    </row>
    <row r="25" ht="19.5" customHeight="1">
      <c r="A25" s="110" t="s">
        <v>612</v>
      </c>
      <c r="B25" s="145">
        <f>STDEV(C5:C19)</f>
        <v>15.1621332837528</v>
      </c>
      <c r="C25" s="146">
        <f>STDEV(C5:C19)</f>
        <v>15.1621332837528</v>
      </c>
      <c r="D25" s="147" t="s">
        <v>610</v>
      </c>
      <c r="E25" s="147"/>
      <c r="F25" s="147"/>
      <c r="G25" s="147"/>
      <c r="H25" s="147"/>
      <c r="I25" s="147"/>
    </row>
    <row r="26" ht="19.5" customHeight="1">
      <c r="A26" s="148" t="s">
        <v>613</v>
      </c>
      <c r="B26" s="145">
        <f>MIN(C5:C19)</f>
        <v>3.2000000000000002</v>
      </c>
      <c r="C26" s="146">
        <f>MIN(C5:C19)</f>
        <v>3.2000000000000002</v>
      </c>
      <c r="D26" s="147" t="s">
        <v>610</v>
      </c>
      <c r="E26" s="147"/>
      <c r="F26" s="147"/>
      <c r="G26" s="147"/>
      <c r="H26" s="147"/>
      <c r="I26" s="147"/>
    </row>
    <row r="27" ht="19.5" customHeight="1">
      <c r="A27" s="110" t="s">
        <v>614</v>
      </c>
      <c r="B27" s="145">
        <f>MAX(C5:C19)</f>
        <v>52</v>
      </c>
      <c r="C27" s="146">
        <f>MAX(C5:C19)</f>
        <v>52</v>
      </c>
      <c r="D27" s="147" t="s">
        <v>610</v>
      </c>
      <c r="E27" s="147"/>
      <c r="F27" s="147"/>
      <c r="G27" s="147"/>
      <c r="H27" s="147"/>
      <c r="I27" s="147"/>
    </row>
    <row r="28" ht="19.5" customHeight="1">
      <c r="A28" s="148" t="s">
        <v>615</v>
      </c>
      <c r="B28" s="145">
        <f>QUARTILE(C5:C19,1)</f>
        <v>4.7000000000000002</v>
      </c>
      <c r="C28" s="146">
        <f>QUARTILE(C5:C19,1)</f>
        <v>4.7000000000000002</v>
      </c>
      <c r="D28" s="147" t="s">
        <v>610</v>
      </c>
      <c r="E28" s="147"/>
      <c r="F28" s="147"/>
      <c r="G28" s="147"/>
      <c r="H28" s="147"/>
      <c r="I28" s="147"/>
    </row>
    <row r="29" ht="19.5" customHeight="1">
      <c r="A29" s="110" t="s">
        <v>616</v>
      </c>
      <c r="B29" s="145">
        <f>QUARTILE(C5:C19,3)</f>
        <v>8.9499999999999993</v>
      </c>
      <c r="C29" s="146">
        <f>QUARTILE(C5:C19,3)</f>
        <v>8.9499999999999993</v>
      </c>
      <c r="D29" s="147" t="s">
        <v>610</v>
      </c>
      <c r="E29" s="147"/>
      <c r="F29" s="147"/>
      <c r="G29" s="147"/>
      <c r="H29" s="147"/>
      <c r="I29" s="147"/>
    </row>
    <row r="30" ht="19.5" customHeight="1">
      <c r="A30" s="148" t="s">
        <v>617</v>
      </c>
      <c r="B30" s="145">
        <f>G29-G28</f>
        <v>0</v>
      </c>
      <c r="C30" s="146">
        <f>C29-C28</f>
        <v>4.25</v>
      </c>
      <c r="D30" s="147" t="s">
        <v>610</v>
      </c>
      <c r="E30" s="147"/>
      <c r="F30" s="147"/>
      <c r="G30" s="147"/>
      <c r="H30" s="147"/>
      <c r="I30" s="147"/>
    </row>
    <row r="31" ht="19.5" customHeight="1">
      <c r="A31" s="110" t="s">
        <v>618</v>
      </c>
      <c r="B31" s="145">
        <f>G29+1.5*(G29-G28)</f>
        <v>0</v>
      </c>
      <c r="C31" s="146">
        <f>C29+1.5*(C29-C28)</f>
        <v>15.324999999999999</v>
      </c>
      <c r="D31" s="147" t="s">
        <v>610</v>
      </c>
      <c r="E31" s="147"/>
      <c r="F31" s="147"/>
      <c r="G31" s="147"/>
      <c r="H31" s="147"/>
      <c r="I31" s="147"/>
    </row>
    <row r="32" ht="19.5" customHeight="1">
      <c r="A32" s="148" t="s">
        <v>619</v>
      </c>
      <c r="B32" s="145">
        <f>COUNTIF(G5:G19,"Sim")/COUNT(C5:C19)</f>
        <v>0.73333333333333295</v>
      </c>
      <c r="C32" s="149">
        <f>COUNTIF(G5:G19,"Sim")/COUNTA(G5:G19)</f>
        <v>0.73333333333333295</v>
      </c>
      <c r="D32" s="147" t="s">
        <v>620</v>
      </c>
      <c r="E32" s="147"/>
      <c r="F32" s="147"/>
      <c r="G32" s="147"/>
      <c r="H32" s="147"/>
      <c r="I32" s="147"/>
    </row>
    <row r="33" ht="19.5" customHeight="1">
      <c r="A33" s="110" t="s">
        <v>621</v>
      </c>
      <c r="B33" s="145">
        <f>AVERAGE(D5:D19)</f>
        <v>3.6000000000000001</v>
      </c>
      <c r="C33" s="150">
        <f>AVERAGE(D5:D19)</f>
        <v>3.6000000000000001</v>
      </c>
      <c r="D33" s="147" t="s">
        <v>622</v>
      </c>
      <c r="E33" s="147"/>
      <c r="F33" s="147"/>
      <c r="G33" s="147"/>
      <c r="H33" s="147"/>
      <c r="I33" s="147"/>
    </row>
    <row r="34" ht="19.5" customHeight="1">
      <c r="A34" s="148" t="s">
        <v>623</v>
      </c>
      <c r="B34" s="145">
        <f>COUNTIF(C5:C19,"&gt;"&amp;G30)</f>
        <v>0</v>
      </c>
      <c r="C34" s="151">
        <f>COUNTIF(C5:C19,"&gt;"&amp;C31)</f>
        <v>2</v>
      </c>
      <c r="D34" s="147" t="s">
        <v>624</v>
      </c>
      <c r="E34" s="147"/>
      <c r="F34" s="147"/>
      <c r="G34" s="147"/>
      <c r="H34" s="147"/>
      <c r="I34" s="147"/>
    </row>
  </sheetData>
  <mergeCells count="17">
    <mergeCell ref="A1:I1"/>
    <mergeCell ref="A2:I2"/>
    <mergeCell ref="A3:I3"/>
    <mergeCell ref="A21:E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4"/>
    <col collapsed="0" customWidth="1" hidden="0" min="3" max="6" outlineLevel="0" style="1" width="16"/>
    <col collapsed="0" customWidth="1" hidden="0" min="7" max="7" outlineLevel="0" style="1" width="20"/>
  </cols>
  <sheetData>
    <row r="1" ht="36" customHeight="1">
      <c r="A1" s="20" t="s">
        <v>625</v>
      </c>
      <c r="B1" s="20"/>
      <c r="C1" s="20"/>
      <c r="D1" s="20"/>
      <c r="E1" s="20"/>
      <c r="F1" s="20"/>
      <c r="G1" s="20"/>
    </row>
    <row r="2" ht="36" customHeight="1">
      <c r="A2" s="21" t="s">
        <v>626</v>
      </c>
      <c r="B2" s="21"/>
      <c r="C2" s="21"/>
      <c r="D2" s="21"/>
      <c r="E2" s="21"/>
      <c r="F2" s="21"/>
      <c r="G2" s="21"/>
    </row>
    <row r="3" ht="24" customHeight="1">
      <c r="A3" s="67" t="s">
        <v>627</v>
      </c>
      <c r="B3" s="67"/>
      <c r="C3" s="67"/>
      <c r="D3" s="67"/>
      <c r="E3" s="67"/>
      <c r="F3" s="67"/>
      <c r="G3" s="67"/>
    </row>
    <row r="4" ht="27.75" customHeight="1">
      <c r="A4" s="68" t="s">
        <v>104</v>
      </c>
      <c r="B4" s="68" t="s">
        <v>628</v>
      </c>
      <c r="C4" s="68" t="s">
        <v>629</v>
      </c>
      <c r="D4" s="68" t="s">
        <v>630</v>
      </c>
      <c r="E4" s="68" t="s">
        <v>274</v>
      </c>
      <c r="F4" s="68" t="s">
        <v>631</v>
      </c>
      <c r="G4" s="68"/>
    </row>
    <row r="5" ht="24" customHeight="1">
      <c r="A5" s="126" t="s">
        <v>632</v>
      </c>
      <c r="B5" s="71" t="s">
        <v>633</v>
      </c>
      <c r="C5" s="128" t="s">
        <v>634</v>
      </c>
      <c r="D5" s="152" t="str">
        <f>PROPER(TRIM(B5))</f>
        <v>Produto-Nb-001</v>
      </c>
      <c r="E5" s="33" t="s">
        <v>635</v>
      </c>
      <c r="F5" s="153" t="s">
        <v>636</v>
      </c>
      <c r="G5" s="153"/>
    </row>
    <row r="6" ht="24" customHeight="1">
      <c r="A6" s="127" t="s">
        <v>637</v>
      </c>
      <c r="B6" s="71" t="s">
        <v>638</v>
      </c>
      <c r="C6" s="128" t="s">
        <v>639</v>
      </c>
      <c r="D6" s="31" t="str">
        <f>IFERROR(VALUE(SUBSTITUTE(SUBSTITUTE(SUBSTITUTE(B6,"R$","")," ",""),",",".")),"Erro")</f>
        <v>Erro</v>
      </c>
      <c r="E6" s="33" t="s">
        <v>640</v>
      </c>
      <c r="F6" s="154" t="s">
        <v>641</v>
      </c>
      <c r="G6" s="154"/>
    </row>
    <row r="7" ht="24" customHeight="1">
      <c r="A7" s="126" t="s">
        <v>642</v>
      </c>
      <c r="B7" s="71" t="s">
        <v>643</v>
      </c>
      <c r="C7" s="128" t="s">
        <v>644</v>
      </c>
      <c r="D7" s="155">
        <f>IFERROR(DATE(VALUE(LEFT(B7,4)),VALUE(MID(B7,6,2)),VALUE(RIGHT(B7,2))),"Inválida")</f>
        <v>46096</v>
      </c>
      <c r="E7" s="156" t="s">
        <v>645</v>
      </c>
      <c r="F7" s="153" t="s">
        <v>646</v>
      </c>
      <c r="G7" s="153"/>
    </row>
    <row r="8" ht="24" customHeight="1">
      <c r="A8" s="127" t="s">
        <v>647</v>
      </c>
      <c r="B8" s="71" t="s">
        <v>648</v>
      </c>
      <c r="C8" s="128" t="s">
        <v>649</v>
      </c>
      <c r="D8" s="152" t="str">
        <f>IF(ISNUMBER(FIND("@",B8)),IF(ISERROR(FIND(".",B8,FIND("@",B8))),B8&amp;".com.br",B8),B8)</f>
        <v>ana.silva@empresa.com.br</v>
      </c>
      <c r="E8" s="33" t="s">
        <v>650</v>
      </c>
      <c r="F8" s="154" t="s">
        <v>651</v>
      </c>
      <c r="G8" s="154"/>
    </row>
    <row r="9" ht="24" customHeight="1">
      <c r="A9" s="126" t="s">
        <v>652</v>
      </c>
      <c r="B9" s="71" t="s">
        <v>653</v>
      </c>
      <c r="C9" s="128" t="s">
        <v>654</v>
      </c>
      <c r="D9" s="152" t="str">
        <f>TRIM(MID(B9,5,100))</f>
        <v>123.456.789-00</v>
      </c>
      <c r="E9" s="33" t="s">
        <v>655</v>
      </c>
      <c r="F9" s="153" t="s">
        <v>656</v>
      </c>
      <c r="G9" s="153"/>
    </row>
    <row r="10" ht="24" customHeight="1">
      <c r="A10" s="127" t="s">
        <v>657</v>
      </c>
      <c r="B10" s="71" t="s">
        <v>658</v>
      </c>
      <c r="C10" s="128" t="s">
        <v>659</v>
      </c>
      <c r="D10" s="152" t="str">
        <f>TRIM(LEFT(B10,IFERROR(FIND(" - ",B10)-1,LEN(B10))))</f>
        <v xml:space="preserve">SÃO PAULO</v>
      </c>
      <c r="E10" s="33" t="s">
        <v>660</v>
      </c>
      <c r="F10" s="154" t="s">
        <v>661</v>
      </c>
      <c r="G10" s="154"/>
    </row>
    <row r="11" ht="24" customHeight="1">
      <c r="A11" s="126" t="s">
        <v>662</v>
      </c>
      <c r="B11" s="71" t="s">
        <v>663</v>
      </c>
      <c r="C11" s="128" t="s">
        <v>664</v>
      </c>
      <c r="D11" s="152" t="str">
        <f>IFERROR(TEXT(VALUE(SUBSTITUTE(B11,".","")),"000\.000"),B11)</f>
        <v>034.567</v>
      </c>
      <c r="E11" s="33" t="s">
        <v>665</v>
      </c>
      <c r="F11" s="153" t="s">
        <v>666</v>
      </c>
      <c r="G11" s="153"/>
    </row>
    <row r="12" ht="24" customHeight="1">
      <c r="A12" s="127" t="s">
        <v>667</v>
      </c>
      <c r="B12" s="71" t="s">
        <v>668</v>
      </c>
      <c r="C12" s="128" t="s">
        <v>669</v>
      </c>
      <c r="D12" s="152" t="str">
        <f>PROPER(TRIM(B12))</f>
        <v>Masculino</v>
      </c>
      <c r="E12" s="33" t="s">
        <v>670</v>
      </c>
      <c r="F12" s="154" t="s">
        <v>671</v>
      </c>
      <c r="G12" s="154"/>
    </row>
    <row r="13" ht="24" customHeight="1">
      <c r="A13" s="126" t="s">
        <v>672</v>
      </c>
      <c r="B13" s="71" t="s">
        <v>673</v>
      </c>
      <c r="C13" s="128" t="s">
        <v>674</v>
      </c>
      <c r="D13" s="157">
        <f>IFERROR(VALUE(LEFT(B13,2)),0)</f>
        <v>1</v>
      </c>
      <c r="E13" s="33" t="s">
        <v>675</v>
      </c>
      <c r="F13" s="153" t="s">
        <v>676</v>
      </c>
      <c r="G13" s="153"/>
    </row>
    <row r="14" ht="24" customHeight="1">
      <c r="A14" s="127" t="s">
        <v>677</v>
      </c>
      <c r="B14" s="71" t="s">
        <v>678</v>
      </c>
      <c r="C14" s="128" t="s">
        <v>679</v>
      </c>
      <c r="D14" s="152" t="str">
        <f>UPPER(TRIM(B14))</f>
        <v xml:space="preserve">NOTEBOOK DELL INSPIRON 15</v>
      </c>
      <c r="E14" s="33" t="s">
        <v>680</v>
      </c>
      <c r="F14" s="154" t="s">
        <v>681</v>
      </c>
      <c r="G14" s="154"/>
    </row>
  </sheetData>
  <mergeCells count="14">
    <mergeCell ref="A1:G1"/>
    <mergeCell ref="A2:G2"/>
    <mergeCell ref="A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1" width="5"/>
    <col collapsed="0" customWidth="1" hidden="0" min="2" max="2" outlineLevel="0" style="1" width="22"/>
    <col collapsed="0" customWidth="1" hidden="0" min="3" max="10" outlineLevel="0" style="1" width="14"/>
  </cols>
  <sheetData>
    <row r="1" ht="36" customHeight="1">
      <c r="A1" s="158" t="s">
        <v>682</v>
      </c>
      <c r="B1" s="158"/>
      <c r="C1" s="158"/>
      <c r="D1" s="158"/>
      <c r="E1" s="158"/>
      <c r="F1" s="158"/>
      <c r="G1" s="158"/>
      <c r="H1" s="158"/>
      <c r="I1" s="158"/>
      <c r="J1" s="158"/>
    </row>
    <row r="2" ht="36" customHeight="1">
      <c r="A2" s="21" t="s">
        <v>683</v>
      </c>
      <c r="B2" s="21"/>
      <c r="C2" s="21"/>
      <c r="D2" s="21"/>
      <c r="E2" s="21"/>
      <c r="F2" s="21"/>
      <c r="G2" s="21"/>
      <c r="H2" s="21"/>
      <c r="I2" s="21"/>
      <c r="J2" s="21"/>
    </row>
    <row r="3" ht="24" customHeight="1">
      <c r="A3" s="22" t="s">
        <v>684</v>
      </c>
      <c r="B3" s="22"/>
      <c r="C3" s="22"/>
      <c r="D3" s="22"/>
      <c r="E3" s="22"/>
      <c r="F3" s="22"/>
      <c r="G3" s="22"/>
      <c r="H3" s="22"/>
      <c r="I3" s="22"/>
      <c r="J3" s="22"/>
    </row>
    <row r="4" ht="36" customHeight="1">
      <c r="A4" s="159" t="s">
        <v>685</v>
      </c>
      <c r="B4" s="159"/>
      <c r="C4" s="159"/>
      <c r="D4" s="159"/>
      <c r="E4" s="159"/>
      <c r="F4" s="159"/>
      <c r="G4" s="159"/>
      <c r="H4" s="159"/>
      <c r="I4" s="159"/>
      <c r="J4" s="159"/>
    </row>
    <row r="5" ht="36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</row>
    <row r="7" ht="24" customHeight="1">
      <c r="A7" s="67" t="s">
        <v>686</v>
      </c>
      <c r="B7" s="67"/>
      <c r="C7" s="67"/>
      <c r="D7" s="67"/>
      <c r="E7" s="67"/>
      <c r="F7" s="67"/>
      <c r="G7" s="67"/>
      <c r="H7" s="67"/>
      <c r="I7" s="67"/>
      <c r="J7" s="67"/>
    </row>
    <row r="8" ht="27.75" customHeight="1">
      <c r="A8" s="68" t="s">
        <v>104</v>
      </c>
      <c r="B8" s="68" t="s">
        <v>687</v>
      </c>
      <c r="C8" s="68" t="s">
        <v>688</v>
      </c>
      <c r="D8" s="68" t="s">
        <v>689</v>
      </c>
      <c r="E8" s="68" t="s">
        <v>508</v>
      </c>
      <c r="F8" s="68" t="s">
        <v>690</v>
      </c>
      <c r="G8" s="68" t="s">
        <v>691</v>
      </c>
      <c r="H8" s="68" t="s">
        <v>692</v>
      </c>
      <c r="I8" s="68" t="s">
        <v>693</v>
      </c>
      <c r="J8" s="68" t="s">
        <v>146</v>
      </c>
    </row>
    <row r="9" ht="19.5" customHeight="1">
      <c r="A9" s="70" t="s">
        <v>694</v>
      </c>
      <c r="B9" s="71" t="s">
        <v>695</v>
      </c>
      <c r="C9" s="72" t="s">
        <v>696</v>
      </c>
      <c r="D9" s="72" t="s">
        <v>697</v>
      </c>
      <c r="E9" s="72" t="s">
        <v>698</v>
      </c>
      <c r="F9" s="30" t="str">
        <f>PROPER(TRIM(B9))</f>
        <v xml:space="preserve">Ana Silva</v>
      </c>
      <c r="G9" s="30" t="str">
        <f>PROPER(TRIM(C9))</f>
        <v>Sudeste</v>
      </c>
      <c r="H9" s="30" t="str">
        <f>PROPER(TRIM(D9))</f>
        <v>Notebook</v>
      </c>
      <c r="I9" s="95">
        <f>IFERROR(VALUE(SUBSTITUTE(SUBSTITUTE(SUBSTITUTE(E9,"R$","")," ",""),",",".")),0)</f>
        <v>15.199999999999999</v>
      </c>
      <c r="J9" s="42" t="s">
        <v>155</v>
      </c>
    </row>
    <row r="10" ht="19.5" customHeight="1">
      <c r="A10" s="72" t="s">
        <v>699</v>
      </c>
      <c r="B10" s="71" t="s">
        <v>700</v>
      </c>
      <c r="C10" s="72" t="s">
        <v>701</v>
      </c>
      <c r="D10" s="72" t="s">
        <v>702</v>
      </c>
      <c r="E10" s="72" t="s">
        <v>703</v>
      </c>
      <c r="F10" s="30" t="str">
        <f>PROPER(TRIM(B10))</f>
        <v xml:space="preserve">Bruno Costa</v>
      </c>
      <c r="G10" s="30" t="str">
        <f>PROPER(TRIM(C10))</f>
        <v>Sul</v>
      </c>
      <c r="H10" s="30" t="str">
        <f>PROPER(TRIM(D10))</f>
        <v>Monitor</v>
      </c>
      <c r="I10" s="95">
        <f>IFERROR(VALUE(SUBSTITUTE(SUBSTITUTE(SUBSTITUTE(E10,"R$","")," ",""),",",".")),0)</f>
        <v>8.4000000000000004</v>
      </c>
      <c r="J10" s="42" t="s">
        <v>165</v>
      </c>
    </row>
    <row r="11" ht="19.5" customHeight="1">
      <c r="A11" s="70" t="s">
        <v>704</v>
      </c>
      <c r="B11" s="71" t="s">
        <v>705</v>
      </c>
      <c r="C11" s="72" t="s">
        <v>706</v>
      </c>
      <c r="D11" s="72" t="s">
        <v>707</v>
      </c>
      <c r="E11" s="72" t="s">
        <v>708</v>
      </c>
      <c r="F11" s="30" t="str">
        <f>PROPER(TRIM(B11))</f>
        <v xml:space="preserve">Carla Mendes</v>
      </c>
      <c r="G11" s="30" t="str">
        <f>PROPER(TRIM(C11))</f>
        <v>Norte</v>
      </c>
      <c r="H11" s="30" t="str">
        <f>PROPER(TRIM(D11))</f>
        <v>Mouse</v>
      </c>
      <c r="I11" s="95">
        <f>IFERROR(VALUE(SUBSTITUTE(SUBSTITUTE(SUBSTITUTE(E11,"R$","")," ",""),",",".")),0)</f>
        <v>2.1000000000000001</v>
      </c>
      <c r="J11" s="42" t="s">
        <v>168</v>
      </c>
    </row>
    <row r="12" ht="19.5" customHeight="1">
      <c r="A12" s="72" t="s">
        <v>709</v>
      </c>
      <c r="B12" s="71" t="s">
        <v>710</v>
      </c>
      <c r="C12" s="72" t="s">
        <v>711</v>
      </c>
      <c r="D12" s="72" t="s">
        <v>712</v>
      </c>
      <c r="E12" s="72" t="s">
        <v>713</v>
      </c>
      <c r="F12" s="30" t="str">
        <f>PROPER(TRIM(B12))</f>
        <v xml:space="preserve">Diego Rocha</v>
      </c>
      <c r="G12" s="30" t="str">
        <f>PROPER(TRIM(C12))</f>
        <v>Sudeste</v>
      </c>
      <c r="H12" s="30" t="str">
        <f>PROPER(TRIM(D12))</f>
        <v>Teclado</v>
      </c>
      <c r="I12" s="95">
        <f>IFERROR(VALUE(SUBSTITUTE(SUBSTITUTE(SUBSTITUTE(E12,"R$","")," ",""),",",".")),0)</f>
        <v>3.75</v>
      </c>
      <c r="J12" s="42" t="s">
        <v>174</v>
      </c>
    </row>
    <row r="13" ht="19.5" customHeight="1">
      <c r="A13" s="70" t="s">
        <v>714</v>
      </c>
      <c r="B13" s="71" t="s">
        <v>715</v>
      </c>
      <c r="C13" s="72" t="s">
        <v>716</v>
      </c>
      <c r="D13" s="72" t="s">
        <v>717</v>
      </c>
      <c r="E13" s="72" t="s">
        <v>718</v>
      </c>
      <c r="F13" s="30" t="str">
        <f>PROPER(TRIM(B13))</f>
        <v xml:space="preserve">Fernanda Lima</v>
      </c>
      <c r="G13" s="30" t="str">
        <f>PROPER(TRIM(C13))</f>
        <v>Centro-Oeste</v>
      </c>
      <c r="H13" s="30" t="str">
        <f>PROPER(TRIM(D13))</f>
        <v>Notebook</v>
      </c>
      <c r="I13" s="95">
        <f>IFERROR(VALUE(SUBSTITUTE(SUBSTITUTE(SUBSTITUTE(E13,"R$","")," ",""),",",".")),0)</f>
        <v>18.899999999999999</v>
      </c>
      <c r="J13" s="42" t="s">
        <v>177</v>
      </c>
    </row>
    <row r="14" ht="19.5" customHeight="1">
      <c r="A14" s="72" t="s">
        <v>719</v>
      </c>
      <c r="B14" s="71" t="s">
        <v>720</v>
      </c>
      <c r="C14" s="72" t="s">
        <v>701</v>
      </c>
      <c r="D14" s="72" t="s">
        <v>164</v>
      </c>
      <c r="E14" s="72" t="s">
        <v>721</v>
      </c>
      <c r="F14" s="30" t="str">
        <f>PROPER(TRIM(B14))</f>
        <v xml:space="preserve">Gabriel Neto</v>
      </c>
      <c r="G14" s="30" t="str">
        <f>PROPER(TRIM(C14))</f>
        <v>Sul</v>
      </c>
      <c r="H14" s="30" t="str">
        <f>PROPER(TRIM(D14))</f>
        <v>Monitor</v>
      </c>
      <c r="I14" s="95">
        <f>IFERROR(VALUE(SUBSTITUTE(SUBSTITUTE(SUBSTITUTE(E14,"R$","")," ",""),",",".")),0)</f>
        <v>9.5999999999999996</v>
      </c>
      <c r="J14" s="42" t="s">
        <v>180</v>
      </c>
    </row>
    <row r="15" ht="19.5" customHeight="1">
      <c r="A15" s="70" t="s">
        <v>722</v>
      </c>
      <c r="B15" s="71" t="s">
        <v>723</v>
      </c>
      <c r="C15" s="72" t="s">
        <v>706</v>
      </c>
      <c r="D15" s="72" t="s">
        <v>724</v>
      </c>
      <c r="E15" s="72" t="s">
        <v>725</v>
      </c>
      <c r="F15" s="30" t="str">
        <f>PROPER(TRIM(B15))</f>
        <v xml:space="preserve">Helena Cruz</v>
      </c>
      <c r="G15" s="30" t="str">
        <f>PROPER(TRIM(C15))</f>
        <v>Norte</v>
      </c>
      <c r="H15" s="30" t="str">
        <f>PROPER(TRIM(D15))</f>
        <v>Mouse</v>
      </c>
      <c r="I15" s="95">
        <f>IFERROR(VALUE(SUBSTITUTE(SUBSTITUTE(SUBSTITUTE(E15,"R$","")," ",""),",",".")),0)</f>
        <v>1.8500000000000001</v>
      </c>
      <c r="J15" s="42" t="s">
        <v>726</v>
      </c>
    </row>
    <row r="16" ht="19.5" customHeight="1">
      <c r="A16" s="72" t="s">
        <v>727</v>
      </c>
      <c r="B16" s="71" t="s">
        <v>728</v>
      </c>
      <c r="C16" s="72" t="s">
        <v>729</v>
      </c>
      <c r="D16" s="72" t="s">
        <v>154</v>
      </c>
      <c r="E16" s="72" t="s">
        <v>730</v>
      </c>
      <c r="F16" s="30" t="str">
        <f>PROPER(TRIM(B16))</f>
        <v xml:space="preserve">Igor Santos</v>
      </c>
      <c r="G16" s="30" t="str">
        <f>PROPER(TRIM(C16))</f>
        <v>Sudeste</v>
      </c>
      <c r="H16" s="30" t="str">
        <f>PROPER(TRIM(D16))</f>
        <v>Notebook</v>
      </c>
      <c r="I16" s="95">
        <f>IFERROR(VALUE(SUBSTITUTE(SUBSTITUTE(SUBSTITUTE(E16,"R$","")," ",""),",",".")),0)</f>
        <v>22.399999999999999</v>
      </c>
      <c r="J16" s="42" t="s">
        <v>731</v>
      </c>
    </row>
    <row r="18" ht="24" customHeight="1">
      <c r="A18" s="27" t="s">
        <v>732</v>
      </c>
      <c r="B18" s="27"/>
      <c r="C18" s="27"/>
      <c r="D18" s="27"/>
      <c r="E18" s="27"/>
      <c r="F18" s="27"/>
      <c r="G18" s="27"/>
      <c r="H18" s="27"/>
      <c r="I18" s="27"/>
      <c r="J18" s="27"/>
    </row>
    <row r="19" ht="27.75" customHeight="1">
      <c r="A19" s="28" t="s">
        <v>472</v>
      </c>
      <c r="B19" s="28" t="s">
        <v>192</v>
      </c>
      <c r="C19" s="28" t="s">
        <v>191</v>
      </c>
      <c r="D19" s="28"/>
      <c r="E19" s="28"/>
      <c r="F19" s="28"/>
      <c r="G19" s="28"/>
      <c r="H19" s="28"/>
      <c r="I19" s="28"/>
      <c r="J19" s="28"/>
    </row>
    <row r="20" ht="21.75" customHeight="1">
      <c r="A20" s="160" t="s">
        <v>733</v>
      </c>
      <c r="B20" s="161">
        <f>IFERROR(SUM(I9:I16),0)</f>
        <v>82.200000000000003</v>
      </c>
      <c r="C20" s="46">
        <f>IFERROR(SUM(I9:I16),0)</f>
        <v>82.200000000000003</v>
      </c>
      <c r="D20" s="46"/>
      <c r="E20" s="46"/>
      <c r="F20" s="46"/>
      <c r="G20" s="46"/>
      <c r="H20" s="46"/>
      <c r="I20" s="46"/>
      <c r="J20" s="46"/>
    </row>
    <row r="21" ht="21.75" customHeight="1">
      <c r="A21" s="110" t="s">
        <v>734</v>
      </c>
      <c r="B21" s="161">
        <f>IFERROR(AVERAGE(I9:I16),0)</f>
        <v>10.275</v>
      </c>
      <c r="C21" s="46">
        <f>IFERROR(AVERAGE(I9:I16),0)</f>
        <v>10.275</v>
      </c>
      <c r="D21" s="46"/>
      <c r="E21" s="46"/>
      <c r="F21" s="46"/>
      <c r="G21" s="46"/>
      <c r="H21" s="46"/>
      <c r="I21" s="46"/>
      <c r="J21" s="46"/>
    </row>
    <row r="22" ht="21.75" customHeight="1">
      <c r="A22" s="160" t="s">
        <v>735</v>
      </c>
      <c r="B22" s="161">
        <f>IFERROR(MAX(I9:I16),0)</f>
        <v>22.399999999999999</v>
      </c>
      <c r="C22" s="46">
        <f>IFERROR(MAX(I9:I16),0)</f>
        <v>22.399999999999999</v>
      </c>
      <c r="D22" s="46"/>
      <c r="E22" s="46"/>
      <c r="F22" s="46"/>
      <c r="G22" s="46"/>
      <c r="H22" s="46"/>
      <c r="I22" s="46"/>
      <c r="J22" s="46"/>
    </row>
    <row r="23" ht="21.75" customHeight="1">
      <c r="A23" s="110" t="s">
        <v>736</v>
      </c>
      <c r="B23" s="33" t="str">
        <f>IFERROR(INDEX(F9:F16,MATCH(MAX(I9:I16),I9:I16,0)),"—")</f>
        <v xml:space="preserve">Igor Santos</v>
      </c>
      <c r="C23" s="56" t="str">
        <f>IFERROR(INDEX(F9:F16,MATCH(MAX(I9:I16),I9:I16,0)),"—")</f>
        <v xml:space="preserve">Igor Santos</v>
      </c>
      <c r="D23" s="56"/>
      <c r="E23" s="56"/>
      <c r="F23" s="56"/>
      <c r="G23" s="56"/>
      <c r="H23" s="56"/>
      <c r="I23" s="56"/>
      <c r="J23" s="56"/>
    </row>
    <row r="24" ht="21.75" customHeight="1">
      <c r="A24" s="160" t="s">
        <v>737</v>
      </c>
      <c r="B24" s="33">
        <f>IFERROR(SUMIF(G9:G16,"Sudeste",I9:I16),0)</f>
        <v>41.350000000000001</v>
      </c>
      <c r="C24" s="46">
        <f>IFERROR(SUMIF(G9:G16,"Sudeste",I9:I16),0)</f>
        <v>41.350000000000001</v>
      </c>
      <c r="D24" s="46"/>
      <c r="E24" s="46"/>
      <c r="F24" s="46"/>
      <c r="G24" s="46"/>
      <c r="H24" s="46"/>
      <c r="I24" s="46"/>
      <c r="J24" s="46"/>
    </row>
    <row r="25" ht="21.75" customHeight="1">
      <c r="A25" s="110" t="s">
        <v>738</v>
      </c>
      <c r="B25" s="33">
        <f>COUNTIF(H9:H16,"Notebook")</f>
        <v>3</v>
      </c>
      <c r="C25" s="50">
        <f>COUNTIF(H9:H16,"Notebook")</f>
        <v>3</v>
      </c>
      <c r="D25" s="50"/>
      <c r="E25" s="50"/>
      <c r="F25" s="50"/>
      <c r="G25" s="50"/>
      <c r="H25" s="50"/>
      <c r="I25" s="50"/>
      <c r="J25" s="50"/>
    </row>
    <row r="26" ht="21.75" customHeight="1">
      <c r="A26" s="160" t="s">
        <v>739</v>
      </c>
      <c r="B26" s="33">
        <f>IFERROR(COUNTIF(H9:H16,"Notebook")/COUNTA(H9:H16),0)</f>
        <v>0.375</v>
      </c>
      <c r="C26" s="149">
        <f>IFERROR(COUNTIF(H9:H16,"Notebook")/COUNTA(H9:H16),0)</f>
        <v>0.375</v>
      </c>
      <c r="D26" s="149"/>
      <c r="E26" s="149"/>
      <c r="F26" s="149"/>
      <c r="G26" s="149"/>
      <c r="H26" s="149"/>
      <c r="I26" s="149"/>
      <c r="J26" s="149"/>
    </row>
    <row r="27" ht="21.75" customHeight="1">
      <c r="A27" s="110" t="s">
        <v>740</v>
      </c>
      <c r="B27" s="33" t="str">
        <f>IF(IFERROR(SUM(I9:I16),0)&gt;=80000,"✅ SIM","❌ NÃO")</f>
        <v xml:space="preserve">❌ NÃO</v>
      </c>
      <c r="C27" s="56" t="str">
        <f>IF(IFERROR(SUM(I9:I16),0)&gt;=80000,"✅ META ATINGIDA!","❌ Abaixo da meta")</f>
        <v xml:space="preserve">❌ Abaixo da meta</v>
      </c>
      <c r="D27" s="56"/>
      <c r="E27" s="56"/>
      <c r="F27" s="56"/>
      <c r="G27" s="56"/>
      <c r="H27" s="56"/>
      <c r="I27" s="56"/>
      <c r="J27" s="56"/>
    </row>
    <row r="29" ht="24" customHeight="1">
      <c r="A29" s="120" t="s">
        <v>741</v>
      </c>
      <c r="B29" s="120"/>
      <c r="C29" s="120"/>
      <c r="D29" s="120"/>
      <c r="E29" s="120"/>
      <c r="F29" s="120"/>
      <c r="G29" s="120"/>
      <c r="H29" s="120"/>
      <c r="I29" s="120"/>
      <c r="J29" s="120"/>
    </row>
    <row r="30" ht="27.75" customHeight="1">
      <c r="A30" s="162" t="s">
        <v>742</v>
      </c>
      <c r="B30" s="162"/>
      <c r="C30" s="162"/>
      <c r="D30" s="162"/>
      <c r="E30" s="162"/>
      <c r="F30" s="162"/>
      <c r="G30" s="162"/>
      <c r="H30" s="162"/>
      <c r="I30" s="162"/>
      <c r="J30" s="162"/>
    </row>
    <row r="31" ht="27.75" customHeight="1">
      <c r="A31" s="162"/>
      <c r="B31" s="162"/>
      <c r="C31" s="162"/>
      <c r="D31" s="162"/>
      <c r="E31" s="162"/>
      <c r="F31" s="162"/>
      <c r="G31" s="162"/>
      <c r="H31" s="162"/>
      <c r="I31" s="162"/>
      <c r="J31" s="162"/>
    </row>
    <row r="32" ht="27.75" customHeight="1">
      <c r="A32" s="162"/>
      <c r="B32" s="162"/>
      <c r="C32" s="162"/>
      <c r="D32" s="162"/>
      <c r="E32" s="162"/>
      <c r="F32" s="162"/>
      <c r="G32" s="162"/>
      <c r="H32" s="162"/>
      <c r="I32" s="162"/>
      <c r="J32" s="162"/>
    </row>
  </sheetData>
  <mergeCells count="17">
    <mergeCell ref="A1:J1"/>
    <mergeCell ref="A2:J2"/>
    <mergeCell ref="A3:J3"/>
    <mergeCell ref="A4:J5"/>
    <mergeCell ref="A7:J7"/>
    <mergeCell ref="A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A29:J29"/>
    <mergeCell ref="A30:J32"/>
  </mergeCells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lastModifiedBy/>
  <cp:revision>8</cp:revision>
  <dcterms:created xsi:type="dcterms:W3CDTF">2026-03-10T01:53:02Z</dcterms:created>
  <dcterms:modified xsi:type="dcterms:W3CDTF">2026-03-10T14:16:26Z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